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32"/>
  <workbookPr defaultThemeVersion="124226"/>
  <mc:AlternateContent xmlns:mc="http://schemas.openxmlformats.org/markup-compatibility/2006">
    <mc:Choice Requires="x15">
      <x15ac:absPath xmlns:x15ac="http://schemas.microsoft.com/office/spreadsheetml/2010/11/ac" url="D:\Data Analyst\Excel\"/>
    </mc:Choice>
  </mc:AlternateContent>
  <xr:revisionPtr revIDLastSave="0" documentId="13_ncr:1_{2F037101-2133-43EB-ADC1-9871E738D29D}" xr6:coauthVersionLast="47" xr6:coauthVersionMax="47" xr10:uidLastSave="{00000000-0000-0000-0000-000000000000}"/>
  <bookViews>
    <workbookView xWindow="-110" yWindow="-110" windowWidth="19420" windowHeight="12220" activeTab="2" xr2:uid="{00000000-000D-0000-FFFF-FFFF00000000}"/>
  </bookViews>
  <sheets>
    <sheet name="Sheet2" sheetId="3" r:id="rId1"/>
    <sheet name="Sheet3" sheetId="4" r:id="rId2"/>
    <sheet name="Dataset" sheetId="1" r:id="rId3"/>
  </sheets>
  <calcPr calcId="191029"/>
  <pivotCaches>
    <pivotCache cacheId="0" r:id="rId4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M36" i="1" l="1"/>
  <c r="C5" i="4"/>
  <c r="C4" i="4"/>
  <c r="L36" i="1"/>
  <c r="L35" i="1"/>
  <c r="L34" i="1"/>
  <c r="L33" i="1"/>
  <c r="L32" i="1"/>
  <c r="L31" i="1"/>
  <c r="L24" i="1"/>
  <c r="L23" i="1"/>
  <c r="L22" i="1"/>
  <c r="L21" i="1"/>
  <c r="L20" i="1"/>
  <c r="H16" i="1"/>
  <c r="H23" i="1"/>
  <c r="H144" i="1"/>
  <c r="H18" i="1"/>
  <c r="H136" i="1"/>
  <c r="H181" i="1"/>
  <c r="H152" i="1"/>
  <c r="H58" i="1"/>
  <c r="H130" i="1"/>
  <c r="H35" i="1"/>
  <c r="H115" i="1"/>
  <c r="H160" i="1"/>
  <c r="H56" i="1"/>
  <c r="H68" i="1"/>
  <c r="H5" i="1"/>
  <c r="H20" i="1"/>
  <c r="H62" i="1"/>
  <c r="H37" i="1"/>
  <c r="H96" i="1"/>
  <c r="H174" i="1"/>
  <c r="H123" i="1"/>
  <c r="H89" i="1"/>
  <c r="H22" i="1"/>
  <c r="H117" i="1"/>
  <c r="H17" i="1"/>
  <c r="H28" i="1"/>
  <c r="H32" i="1"/>
  <c r="H27" i="1"/>
  <c r="H29" i="1"/>
  <c r="H154" i="1"/>
  <c r="H159" i="1"/>
  <c r="H41" i="1"/>
  <c r="H78" i="1"/>
  <c r="H165" i="1"/>
  <c r="H137" i="1"/>
  <c r="H51" i="1"/>
  <c r="H4" i="1"/>
  <c r="H9" i="1"/>
  <c r="H74" i="1"/>
  <c r="H83" i="1"/>
  <c r="H189" i="1"/>
  <c r="H186" i="1"/>
  <c r="H121" i="1"/>
  <c r="H150" i="1"/>
  <c r="H105" i="1"/>
  <c r="H45" i="1"/>
  <c r="H25" i="1"/>
  <c r="H149" i="1"/>
  <c r="H201" i="1"/>
  <c r="H128" i="1"/>
  <c r="H179" i="1"/>
  <c r="H112" i="1"/>
  <c r="H155" i="1"/>
  <c r="H104" i="1"/>
  <c r="H167" i="1"/>
  <c r="H138" i="1"/>
  <c r="H55" i="1"/>
  <c r="H139" i="1"/>
  <c r="H101" i="1"/>
  <c r="H169" i="1"/>
  <c r="H52" i="1"/>
  <c r="H85" i="1"/>
  <c r="H98" i="1"/>
  <c r="H77" i="1"/>
  <c r="H173" i="1"/>
  <c r="H66" i="1"/>
  <c r="H40" i="1"/>
  <c r="H15" i="1"/>
  <c r="H59" i="1"/>
  <c r="H34" i="1"/>
  <c r="H63" i="1"/>
  <c r="H193" i="1"/>
  <c r="H13" i="1"/>
  <c r="H122" i="1"/>
  <c r="H49" i="1"/>
  <c r="H141" i="1"/>
  <c r="H198" i="1"/>
  <c r="H168" i="1"/>
  <c r="H127" i="1"/>
  <c r="H113" i="1"/>
  <c r="H69" i="1"/>
  <c r="H195" i="1"/>
  <c r="H197" i="1"/>
  <c r="H76" i="1"/>
  <c r="H26" i="1"/>
  <c r="H73" i="1"/>
  <c r="H107" i="1"/>
  <c r="H163" i="1"/>
  <c r="H24" i="1"/>
  <c r="H91" i="1"/>
  <c r="H126" i="1"/>
  <c r="H43" i="1"/>
  <c r="H90" i="1"/>
  <c r="H182" i="1"/>
  <c r="H132" i="1"/>
  <c r="H194" i="1"/>
  <c r="H44" i="1"/>
  <c r="H102" i="1"/>
  <c r="H190" i="1"/>
  <c r="H88" i="1"/>
  <c r="H133" i="1"/>
  <c r="H191" i="1"/>
  <c r="H72" i="1"/>
  <c r="H106" i="1"/>
  <c r="H200" i="1"/>
  <c r="H140" i="1"/>
  <c r="H153" i="1"/>
  <c r="H187" i="1"/>
  <c r="H12" i="1"/>
  <c r="H57" i="1"/>
  <c r="H103" i="1"/>
  <c r="H148" i="1"/>
  <c r="H178" i="1"/>
  <c r="H192" i="1"/>
  <c r="H36" i="1"/>
  <c r="H8" i="1"/>
  <c r="H82" i="1"/>
  <c r="H39" i="1"/>
  <c r="H21" i="1"/>
  <c r="H84" i="1"/>
  <c r="H177" i="1"/>
  <c r="H118" i="1"/>
  <c r="H180" i="1"/>
  <c r="H80" i="1"/>
  <c r="H170" i="1"/>
  <c r="H42" i="1"/>
  <c r="H183" i="1"/>
  <c r="H2" i="1"/>
  <c r="H157" i="1"/>
  <c r="H92" i="1"/>
  <c r="H95" i="1"/>
  <c r="H79" i="1"/>
  <c r="H10" i="1"/>
  <c r="H48" i="1"/>
  <c r="H110" i="1"/>
  <c r="H30" i="1"/>
  <c r="H53" i="1"/>
  <c r="H81" i="1"/>
  <c r="H33" i="1"/>
  <c r="H7" i="1"/>
  <c r="H172" i="1"/>
  <c r="H185" i="1"/>
  <c r="H134" i="1"/>
  <c r="H147" i="1"/>
  <c r="H116" i="1"/>
  <c r="H114" i="1"/>
  <c r="H188" i="1"/>
  <c r="H67" i="1"/>
  <c r="H111" i="1"/>
  <c r="H161" i="1"/>
  <c r="H93" i="1"/>
  <c r="H75" i="1"/>
  <c r="H38" i="1"/>
  <c r="H146" i="1"/>
  <c r="H19" i="1"/>
  <c r="H70" i="1"/>
  <c r="H184" i="1"/>
  <c r="H100" i="1"/>
  <c r="H108" i="1"/>
  <c r="H86" i="1"/>
  <c r="H199" i="1"/>
  <c r="H47" i="1"/>
  <c r="H31" i="1"/>
  <c r="H94" i="1"/>
  <c r="H3" i="1"/>
  <c r="H87" i="1"/>
  <c r="H142" i="1"/>
  <c r="H61" i="1"/>
  <c r="H166" i="1"/>
  <c r="H129" i="1"/>
  <c r="H156" i="1"/>
  <c r="H6" i="1"/>
  <c r="H71" i="1"/>
  <c r="H176" i="1"/>
  <c r="H60" i="1"/>
  <c r="H65" i="1"/>
  <c r="H151" i="1"/>
  <c r="H162" i="1"/>
  <c r="H135" i="1"/>
  <c r="H125" i="1"/>
  <c r="H120" i="1"/>
  <c r="H99" i="1"/>
  <c r="H46" i="1"/>
  <c r="H124" i="1"/>
  <c r="H97" i="1"/>
  <c r="H158" i="1"/>
  <c r="H14" i="1"/>
  <c r="H11" i="1"/>
  <c r="H64" i="1"/>
  <c r="H175" i="1"/>
  <c r="H109" i="1"/>
  <c r="H119" i="1"/>
  <c r="H196" i="1"/>
  <c r="H171" i="1"/>
  <c r="H143" i="1"/>
  <c r="H131" i="1"/>
  <c r="H50" i="1"/>
  <c r="H145" i="1"/>
  <c r="H54" i="1"/>
  <c r="H164" i="1"/>
  <c r="C3" i="4"/>
  <c r="C2" i="4"/>
</calcChain>
</file>

<file path=xl/sharedStrings.xml><?xml version="1.0" encoding="utf-8"?>
<sst xmlns="http://schemas.openxmlformats.org/spreadsheetml/2006/main" count="861" uniqueCount="66">
  <si>
    <t>Invoice Date</t>
  </si>
  <si>
    <t>Store Location</t>
  </si>
  <si>
    <t>Product Category</t>
  </si>
  <si>
    <t>Product Name</t>
  </si>
  <si>
    <t>Quantity Sold</t>
  </si>
  <si>
    <t>Unit Price</t>
  </si>
  <si>
    <t>Salesperson</t>
  </si>
  <si>
    <t>Bangalore</t>
  </si>
  <si>
    <t>Hyderabad</t>
  </si>
  <si>
    <t>Coimbatore</t>
  </si>
  <si>
    <t>Chennai</t>
  </si>
  <si>
    <t>Groceries</t>
  </si>
  <si>
    <t>Clothing</t>
  </si>
  <si>
    <t>Electronics</t>
  </si>
  <si>
    <t>Home Appliances</t>
  </si>
  <si>
    <t>Snacks</t>
  </si>
  <si>
    <t>Sugar</t>
  </si>
  <si>
    <t>T-Shirt</t>
  </si>
  <si>
    <t>Mobile</t>
  </si>
  <si>
    <t>Rice</t>
  </si>
  <si>
    <t>Mixer</t>
  </si>
  <si>
    <t>Dress</t>
  </si>
  <si>
    <t>Jeans</t>
  </si>
  <si>
    <t>Laptop</t>
  </si>
  <si>
    <t>Smart Watch</t>
  </si>
  <si>
    <t>Jacket</t>
  </si>
  <si>
    <t>Headphones</t>
  </si>
  <si>
    <t>Microwave</t>
  </si>
  <si>
    <t>Fan</t>
  </si>
  <si>
    <t>Oil</t>
  </si>
  <si>
    <t>Iron Box</t>
  </si>
  <si>
    <t>Priya</t>
  </si>
  <si>
    <t>Karthik</t>
  </si>
  <si>
    <t>Divya</t>
  </si>
  <si>
    <t>Arun</t>
  </si>
  <si>
    <t>Rahul</t>
  </si>
  <si>
    <t>1. Calculate total revenue for each transaction</t>
  </si>
  <si>
    <t>Total Revenue</t>
  </si>
  <si>
    <t>Ans: Column H , Total Revenue = Unit price * Quantity sold</t>
  </si>
  <si>
    <t>2.Identify the top 5 products by revenue</t>
  </si>
  <si>
    <t xml:space="preserve">Ans: Reverse order the revenue and pick the first five product names </t>
  </si>
  <si>
    <t>3.Find which store location generates the highest revenue</t>
  </si>
  <si>
    <t>Ans: Find the sum of revenue at each store and find the highest sum</t>
  </si>
  <si>
    <t>Highest</t>
  </si>
  <si>
    <t>Issue: Still the highest city has to be displayed instead of value</t>
  </si>
  <si>
    <t>4.Determine the best performing salesperson</t>
  </si>
  <si>
    <t>Ans: Find each person revenue and find the highest</t>
  </si>
  <si>
    <t>5.Identify months with declining sales trend</t>
  </si>
  <si>
    <t>Row Labels</t>
  </si>
  <si>
    <t>Grand Total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</si>
  <si>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</si>
  <si>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</si>
  <si>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</si>
  <si>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</si>
  <si>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</si>
  <si>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</si>
  <si>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</si>
  <si>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</si>
  <si>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</si>
  <si>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</si>
  <si>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</si>
  <si>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</si>
  <si>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Sum of Total Revenue</t>
  </si>
  <si>
    <t>Ans: March</t>
  </si>
  <si>
    <t>6.Create a summary table showing category-wise revenue contribution (%)</t>
  </si>
  <si>
    <t>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</si>
</sst>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59999389629810485"/>
        <bgColor theme="4" tint="0.59999389629810485"/>
      </patternFill>
    </fill>
    <fill>
      <patternFill patternType="solid">
        <fgColor theme="4" tint="0.79998168889431442"/>
        <bgColor theme="4" tint="0.79998168889431442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164" fontId="0" fillId="0" borderId="0" xfId="0" applyNumberFormat="1"/>
    <xf numFmtId="0" fontId="1" fillId="0" borderId="1" xfId="0" applyFont="1" applyBorder="1" applyAlignment="1">
      <alignment horizontal="center" vertical="top"/>
    </xf>
    <xf numFmtId="0" fontId="0" fillId="2" borderId="2" xfId="0" applyFont="1" applyFill="1" applyBorder="1"/>
    <xf numFmtId="0" fontId="0" fillId="3" borderId="2" xfId="0" applyFont="1" applyFill="1" applyBorder="1"/>
    <xf numFmtId="0" fontId="0" fillId="3" borderId="0" xfId="0" applyFont="1" applyFill="1" applyBorder="1"/>
    <xf numFmtId="0" fontId="0" fillId="2" borderId="3" xfId="0" applyFont="1" applyFill="1" applyBorder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</cellXfs>
  <cellStyles count="1">
    <cellStyle name="Normal" xfId="0" builtinId="0"/>
  </cellStyles>
  <dxfs count="5">
    <dxf>
      <numFmt numFmtId="0" formatCode="General"/>
    </dxf>
    <dxf>
      <numFmt numFmtId="164" formatCode="yyyy\-mm\-dd\ hh:mm:ss"/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[Problem 1 - Retail_Sales_Dataset_200_Rows.xlsx]Sheet2!PivotTable1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Sheet2!$B$1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Sheet2!$A$2:$A$14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Sheet2!$B$2:$B$14</c:f>
              <c:numCache>
                <c:formatCode>General</c:formatCode>
                <c:ptCount val="12"/>
                <c:pt idx="0">
                  <c:v>337338</c:v>
                </c:pt>
                <c:pt idx="1">
                  <c:v>223963</c:v>
                </c:pt>
                <c:pt idx="2">
                  <c:v>94750</c:v>
                </c:pt>
                <c:pt idx="3">
                  <c:v>111881</c:v>
                </c:pt>
                <c:pt idx="4">
                  <c:v>308711</c:v>
                </c:pt>
                <c:pt idx="5">
                  <c:v>209833</c:v>
                </c:pt>
                <c:pt idx="6">
                  <c:v>225465</c:v>
                </c:pt>
                <c:pt idx="7">
                  <c:v>283735</c:v>
                </c:pt>
                <c:pt idx="8">
                  <c:v>176083</c:v>
                </c:pt>
                <c:pt idx="9">
                  <c:v>254386</c:v>
                </c:pt>
                <c:pt idx="10">
                  <c:v>182515</c:v>
                </c:pt>
                <c:pt idx="11">
                  <c:v>205097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7AA-4FD7-BFAD-9B2922B67D4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345330959"/>
        <c:axId val="345331439"/>
      </c:barChart>
      <c:catAx>
        <c:axId val="34533095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45331439"/>
        <c:crosses val="autoZero"/>
        <c:auto val="1"/>
        <c:lblAlgn val="ctr"/>
        <c:lblOffset val="100"/>
        <c:noMultiLvlLbl val="0"/>
      </c:catAx>
      <c:valAx>
        <c:axId val="34533143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4533095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pivotSource>
    <c:name>[Problem 1 - Retail_Sales_Dataset_200_Rows.xlsx]Sheet3!PivotTable2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numFmt formatCode="#,##0_);\(#,##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Sheet3!$B$1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numFmt formatCode="#,##0_);\(#,##0\)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Sheet3!$A$2:$A$6</c:f>
              <c:strCache>
                <c:ptCount val="4"/>
                <c:pt idx="0">
                  <c:v>Clothing</c:v>
                </c:pt>
                <c:pt idx="1">
                  <c:v>Electronics</c:v>
                </c:pt>
                <c:pt idx="2">
                  <c:v>Groceries</c:v>
                </c:pt>
                <c:pt idx="3">
                  <c:v>Home Appliances</c:v>
                </c:pt>
              </c:strCache>
            </c:strRef>
          </c:cat>
          <c:val>
            <c:numRef>
              <c:f>Sheet3!$B$2:$B$6</c:f>
              <c:numCache>
                <c:formatCode>General</c:formatCode>
                <c:ptCount val="4"/>
                <c:pt idx="0">
                  <c:v>645452</c:v>
                </c:pt>
                <c:pt idx="1">
                  <c:v>711312</c:v>
                </c:pt>
                <c:pt idx="2">
                  <c:v>648105</c:v>
                </c:pt>
                <c:pt idx="3">
                  <c:v>608888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D22-42AD-A244-6138A2A4E9BC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345332399"/>
        <c:axId val="345330479"/>
      </c:barChart>
      <c:catAx>
        <c:axId val="34533239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45330479"/>
        <c:crosses val="autoZero"/>
        <c:auto val="1"/>
        <c:lblAlgn val="ctr"/>
        <c:lblOffset val="100"/>
        <c:noMultiLvlLbl val="0"/>
      </c:catAx>
      <c:valAx>
        <c:axId val="3453304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4533239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withinLinear" id="14">
  <a:schemeClr val="accent1"/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1</xdr:row>
      <xdr:rowOff>0</xdr:rowOff>
    </xdr:from>
    <xdr:to>
      <xdr:col>11</xdr:col>
      <xdr:colOff>304800</xdr:colOff>
      <xdr:row>15</xdr:row>
      <xdr:rowOff>165100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12043AC-8259-D417-93DD-AAA2CC26C47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1</xdr:row>
      <xdr:rowOff>0</xdr:rowOff>
    </xdr:from>
    <xdr:to>
      <xdr:col>11</xdr:col>
      <xdr:colOff>304800</xdr:colOff>
      <xdr:row>15</xdr:row>
      <xdr:rowOff>165100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B605D67-D44A-F9B3-8500-97B042420F1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601133</xdr:colOff>
      <xdr:row>41</xdr:row>
      <xdr:rowOff>76201</xdr:rowOff>
    </xdr:from>
    <xdr:to>
      <xdr:col>19</xdr:col>
      <xdr:colOff>296631</xdr:colOff>
      <xdr:row>53</xdr:row>
      <xdr:rowOff>146169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1BFCDA2-7E82-DF65-78D0-05A726EA9BC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381066" y="7713134"/>
          <a:ext cx="5791498" cy="2305168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62</xdr:row>
      <xdr:rowOff>0</xdr:rowOff>
    </xdr:from>
    <xdr:to>
      <xdr:col>19</xdr:col>
      <xdr:colOff>228894</xdr:colOff>
      <xdr:row>74</xdr:row>
      <xdr:rowOff>89019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8C7CB227-2DF3-0B67-0AB3-6894A1A82D2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9389533" y="11548533"/>
          <a:ext cx="5715294" cy="2324219"/>
        </a:xfrm>
        <a:prstGeom prst="rect">
          <a:avLst/>
        </a:prstGeom>
      </xdr:spPr>
    </xdr:pic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Varththini V" refreshedDate="46039.662338194445" createdVersion="8" refreshedVersion="8" minRefreshableVersion="3" recordCount="200" xr:uid="{824C75A6-C7B0-4C8D-A136-50D237B1DB9B}">
  <cacheSource type="worksheet">
    <worksheetSource name="Table1"/>
  </cacheSource>
  <cacheFields count="10">
    <cacheField name="Invoice Date" numFmtId="164">
      <sharedItems containsSemiMixedTypes="0" containsNonDate="0" containsDate="1" containsString="0" minDate="2024-01-01T00:00:00" maxDate="2024-12-31T00:00:00" count="145">
        <d v="2024-01-14T00:00:00"/>
        <d v="2024-01-29T00:00:00"/>
        <d v="2024-10-24T00:00:00"/>
        <d v="2024-10-15T00:00:00"/>
        <d v="2024-03-03T00:00:00"/>
        <d v="2024-02-05T00:00:00"/>
        <d v="2024-08-13T00:00:00"/>
        <d v="2024-01-02T00:00:00"/>
        <d v="2024-07-30T00:00:00"/>
        <d v="2024-12-07T00:00:00"/>
        <d v="2024-07-15T00:00:00"/>
        <d v="2024-06-08T00:00:00"/>
        <d v="2024-01-20T00:00:00"/>
        <d v="2024-08-07T00:00:00"/>
        <d v="2024-01-21T00:00:00"/>
        <d v="2024-07-08T00:00:00"/>
        <d v="2024-12-10T00:00:00"/>
        <d v="2024-11-04T00:00:00"/>
        <d v="2024-05-14T00:00:00"/>
        <d v="2024-11-25T00:00:00"/>
        <d v="2024-05-13T00:00:00"/>
        <d v="2024-04-09T00:00:00"/>
        <d v="2024-10-09T00:00:00"/>
        <d v="2024-01-27T00:00:00"/>
        <d v="2024-02-22T00:00:00"/>
        <d v="2024-06-28T00:00:00"/>
        <d v="2024-08-20T00:00:00"/>
        <d v="2024-04-22T00:00:00"/>
        <d v="2024-01-06T00:00:00"/>
        <d v="2024-07-28T00:00:00"/>
        <d v="2024-05-31T00:00:00"/>
        <d v="2024-05-16T00:00:00"/>
        <d v="2024-11-05T00:00:00"/>
        <d v="2024-08-16T00:00:00"/>
        <d v="2024-02-04T00:00:00"/>
        <d v="2024-10-22T00:00:00"/>
        <d v="2024-02-20T00:00:00"/>
        <d v="2024-06-02T00:00:00"/>
        <d v="2024-07-21T00:00:00"/>
        <d v="2024-02-16T00:00:00"/>
        <d v="2024-10-01T00:00:00"/>
        <d v="2024-07-31T00:00:00"/>
        <d v="2024-01-22T00:00:00"/>
        <d v="2024-06-13T00:00:00"/>
        <d v="2024-09-10T00:00:00"/>
        <d v="2024-05-25T00:00:00"/>
        <d v="2024-02-12T00:00:00"/>
        <d v="2024-12-25T00:00:00"/>
        <d v="2024-12-30T00:00:00"/>
        <d v="2024-09-02T00:00:00"/>
        <d v="2024-10-27T00:00:00"/>
        <d v="2024-09-20T00:00:00"/>
        <d v="2024-07-22T00:00:00"/>
        <d v="2024-07-29T00:00:00"/>
        <d v="2024-03-02T00:00:00"/>
        <d v="2024-08-02T00:00:00"/>
        <d v="2024-09-13T00:00:00"/>
        <d v="2024-07-07T00:00:00"/>
        <d v="2024-04-03T00:00:00"/>
        <d v="2024-05-15T00:00:00"/>
        <d v="2024-08-04T00:00:00"/>
        <d v="2024-06-27T00:00:00"/>
        <d v="2024-12-02T00:00:00"/>
        <d v="2024-08-10T00:00:00"/>
        <d v="2024-03-18T00:00:00"/>
        <d v="2024-05-23T00:00:00"/>
        <d v="2024-05-06T00:00:00"/>
        <d v="2024-11-20T00:00:00"/>
        <d v="2024-09-29T00:00:00"/>
        <d v="2024-06-18T00:00:00"/>
        <d v="2024-10-03T00:00:00"/>
        <d v="2024-11-03T00:00:00"/>
        <d v="2024-09-18T00:00:00"/>
        <d v="2024-05-03T00:00:00"/>
        <d v="2024-10-28T00:00:00"/>
        <d v="2024-08-11T00:00:00"/>
        <d v="2024-08-30T00:00:00"/>
        <d v="2024-05-05T00:00:00"/>
        <d v="2024-08-25T00:00:00"/>
        <d v="2024-09-26T00:00:00"/>
        <d v="2024-10-19T00:00:00"/>
        <d v="2024-01-15T00:00:00"/>
        <d v="2024-01-05T00:00:00"/>
        <d v="2024-02-27T00:00:00"/>
        <d v="2024-05-07T00:00:00"/>
        <d v="2024-03-22T00:00:00"/>
        <d v="2024-03-16T00:00:00"/>
        <d v="2024-12-18T00:00:00"/>
        <d v="2024-08-22T00:00:00"/>
        <d v="2024-09-12T00:00:00"/>
        <d v="2024-06-20T00:00:00"/>
        <d v="2024-09-15T00:00:00"/>
        <d v="2024-11-26T00:00:00"/>
        <d v="2024-09-11T00:00:00"/>
        <d v="2024-02-02T00:00:00"/>
        <d v="2024-08-18T00:00:00"/>
        <d v="2024-01-07T00:00:00"/>
        <d v="2024-12-14T00:00:00"/>
        <d v="2024-11-22T00:00:00"/>
        <d v="2024-12-22T00:00:00"/>
        <d v="2024-10-06T00:00:00"/>
        <d v="2024-12-12T00:00:00"/>
        <d v="2024-12-13T00:00:00"/>
        <d v="2024-11-19T00:00:00"/>
        <d v="2024-06-10T00:00:00"/>
        <d v="2024-02-24T00:00:00"/>
        <d v="2024-05-26T00:00:00"/>
        <d v="2024-01-13T00:00:00"/>
        <d v="2024-08-29T00:00:00"/>
        <d v="2024-11-08T00:00:00"/>
        <d v="2024-06-21T00:00:00"/>
        <d v="2024-10-20T00:00:00"/>
        <d v="2024-07-05T00:00:00"/>
        <d v="2024-05-22T00:00:00"/>
        <d v="2024-01-01T00:00:00"/>
        <d v="2024-10-14T00:00:00"/>
        <d v="2024-11-12T00:00:00"/>
        <d v="2024-08-09T00:00:00"/>
        <d v="2024-09-21T00:00:00"/>
        <d v="2024-05-09T00:00:00"/>
        <d v="2024-11-18T00:00:00"/>
        <d v="2024-08-21T00:00:00"/>
        <d v="2024-02-29T00:00:00"/>
        <d v="2024-08-17T00:00:00"/>
        <d v="2024-05-27T00:00:00"/>
        <d v="2024-08-31T00:00:00"/>
        <d v="2024-10-25T00:00:00"/>
        <d v="2024-03-15T00:00:00"/>
        <d v="2024-12-11T00:00:00"/>
        <d v="2024-04-27T00:00:00"/>
        <d v="2024-04-05T00:00:00"/>
        <d v="2024-01-09T00:00:00"/>
        <d v="2024-05-30T00:00:00"/>
        <d v="2024-04-25T00:00:00"/>
        <d v="2024-04-02T00:00:00"/>
        <d v="2024-06-01T00:00:00"/>
        <d v="2024-04-14T00:00:00"/>
        <d v="2024-11-14T00:00:00"/>
        <d v="2024-04-13T00:00:00"/>
        <d v="2024-02-23T00:00:00"/>
        <d v="2024-08-23T00:00:00"/>
        <d v="2024-04-26T00:00:00"/>
        <d v="2024-02-03T00:00:00"/>
        <d v="2024-04-24T00:00:00"/>
        <d v="2024-11-07T00:00:00"/>
      </sharedItems>
      <fieldGroup par="9"/>
    </cacheField>
    <cacheField name="Store Location" numFmtId="0">
      <sharedItems/>
    </cacheField>
    <cacheField name="Product Category" numFmtId="0">
      <sharedItems count="4">
        <s v="Home Appliances"/>
        <s v="Electronics"/>
        <s v="Groceries"/>
        <s v="Clothing"/>
      </sharedItems>
    </cacheField>
    <cacheField name="Product Name" numFmtId="0">
      <sharedItems/>
    </cacheField>
    <cacheField name="Quantity Sold" numFmtId="0">
      <sharedItems containsSemiMixedTypes="0" containsString="0" containsNumber="1" containsInteger="1" minValue="1" maxValue="9"/>
    </cacheField>
    <cacheField name="Unit Price" numFmtId="0">
      <sharedItems containsSemiMixedTypes="0" containsString="0" containsNumber="1" containsInteger="1" minValue="109" maxValue="4989"/>
    </cacheField>
    <cacheField name="Salesperson" numFmtId="0">
      <sharedItems/>
    </cacheField>
    <cacheField name="Total Revenue" numFmtId="0">
      <sharedItems containsSemiMixedTypes="0" containsString="0" containsNumber="1" containsInteger="1" minValue="116" maxValue="39368"/>
    </cacheField>
    <cacheField name="Days (Invoice Date)" numFmtId="0" databaseField="0">
      <fieldGroup base="0">
        <rangePr groupBy="days" startDate="2024-01-01T00:00:00" endDate="2024-12-31T00:00:00"/>
        <groupItems count="368">
          <s v="&lt;01-01-2024"/>
          <s v="01-Jan"/>
          <s v="02-Jan"/>
          <s v="03-Jan"/>
          <s v="04-Jan"/>
          <s v="05-Jan"/>
          <s v="06-Jan"/>
          <s v="07-Jan"/>
          <s v="08-Jan"/>
          <s v="09-Jan"/>
          <s v="10-Jan"/>
          <s v="11-Jan"/>
          <s v="12-Jan"/>
          <s v="13-Jan"/>
          <s v="14-Jan"/>
          <s v="15-Jan"/>
          <s v="16-Jan"/>
          <s v="17-Jan"/>
          <s v="18-Jan"/>
          <s v="19-Jan"/>
          <s v="20-Jan"/>
          <s v="21-Jan"/>
          <s v="22-Jan"/>
          <s v="23-Jan"/>
          <s v="24-Jan"/>
          <s v="25-Jan"/>
          <s v="26-Jan"/>
          <s v="27-Jan"/>
          <s v="28-Jan"/>
          <s v="29-Jan"/>
          <s v="30-Jan"/>
          <s v="31-Jan"/>
          <s v="01-Feb"/>
          <s v="02-Feb"/>
          <s v="03-Feb"/>
          <s v="04-Feb"/>
          <s v="05-Feb"/>
          <s v="06-Feb"/>
          <s v="07-Feb"/>
          <s v="08-Feb"/>
          <s v="09-Feb"/>
          <s v="10-Feb"/>
          <s v="11-Feb"/>
          <s v="12-Feb"/>
          <s v="13-Feb"/>
          <s v="14-Feb"/>
          <s v="15-Feb"/>
          <s v="16-Feb"/>
          <s v="17-Feb"/>
          <s v="18-Feb"/>
          <s v="19-Feb"/>
          <s v="20-Feb"/>
          <s v="21-Feb"/>
          <s v="22-Feb"/>
          <s v="23-Feb"/>
          <s v="24-Feb"/>
          <s v="25-Feb"/>
          <s v="26-Feb"/>
          <s v="27-Feb"/>
          <s v="28-Feb"/>
          <s v="29-Feb"/>
          <s v="01-Mar"/>
          <s v="02-Mar"/>
          <s v="03-Mar"/>
          <s v="04-Mar"/>
          <s v="05-Mar"/>
          <s v="06-Mar"/>
          <s v="07-Mar"/>
          <s v="08-Mar"/>
          <s v="09-Mar"/>
          <s v="10-Mar"/>
          <s v="11-Mar"/>
          <s v="12-Mar"/>
          <s v="13-Mar"/>
          <s v="14-Mar"/>
          <s v="15-Mar"/>
          <s v="16-Mar"/>
          <s v="17-Mar"/>
          <s v="18-Mar"/>
          <s v="19-Mar"/>
          <s v="20-Mar"/>
          <s v="21-Mar"/>
          <s v="22-Mar"/>
          <s v="23-Mar"/>
          <s v="24-Mar"/>
          <s v="25-Mar"/>
          <s v="26-Mar"/>
          <s v="27-Mar"/>
          <s v="28-Mar"/>
          <s v="29-Mar"/>
          <s v="30-Mar"/>
          <s v="31-Mar"/>
          <s v="01-Apr"/>
          <s v="02-Apr"/>
          <s v="03-Apr"/>
          <s v="04-Apr"/>
          <s v="05-Apr"/>
          <s v="06-Apr"/>
          <s v="07-Apr"/>
          <s v="08-Apr"/>
          <s v="09-Apr"/>
          <s v="10-Apr"/>
          <s v="11-Apr"/>
          <s v="12-Apr"/>
          <s v="13-Apr"/>
          <s v="14-Apr"/>
          <s v="15-Apr"/>
          <s v="16-Apr"/>
          <s v="17-Apr"/>
          <s v="18-Apr"/>
          <s v="19-Apr"/>
          <s v="20-Apr"/>
          <s v="21-Apr"/>
          <s v="22-Apr"/>
          <s v="23-Apr"/>
          <s v="24-Apr"/>
          <s v="25-Apr"/>
          <s v="26-Apr"/>
          <s v="27-Apr"/>
          <s v="28-Apr"/>
          <s v="29-Apr"/>
          <s v="30-Apr"/>
          <s v="01-May"/>
          <s v="02-May"/>
          <s v="03-May"/>
          <s v="04-May"/>
          <s v="05-May"/>
          <s v="06-May"/>
          <s v="07-May"/>
          <s v="08-May"/>
          <s v="09-May"/>
          <s v="10-May"/>
          <s v="11-May"/>
          <s v="12-May"/>
          <s v="13-May"/>
          <s v="14-May"/>
          <s v="15-May"/>
          <s v="16-May"/>
          <s v="17-May"/>
          <s v="18-May"/>
          <s v="19-May"/>
          <s v="20-May"/>
          <s v="21-May"/>
          <s v="22-May"/>
          <s v="23-May"/>
          <s v="24-May"/>
          <s v="25-May"/>
          <s v="26-May"/>
          <s v="27-May"/>
          <s v="28-May"/>
          <s v="29-May"/>
          <s v="30-May"/>
          <s v="31-May"/>
          <s v="01-Jun"/>
          <s v="02-Jun"/>
          <s v="03-Jun"/>
          <s v="04-Jun"/>
          <s v="05-Jun"/>
          <s v="06-Jun"/>
          <s v="07-Jun"/>
          <s v="08-Jun"/>
          <s v="09-Jun"/>
          <s v="10-Jun"/>
          <s v="11-Jun"/>
          <s v="12-Jun"/>
          <s v="13-Jun"/>
          <s v="14-Jun"/>
          <s v="15-Jun"/>
          <s v="16-Jun"/>
          <s v="17-Jun"/>
          <s v="18-Jun"/>
          <s v="19-Jun"/>
          <s v="20-Jun"/>
          <s v="21-Jun"/>
          <s v="22-Jun"/>
          <s v="23-Jun"/>
          <s v="24-Jun"/>
          <s v="25-Jun"/>
          <s v="26-Jun"/>
          <s v="27-Jun"/>
          <s v="28-Jun"/>
          <s v="29-Jun"/>
          <s v="30-Jun"/>
          <s v="01-Jul"/>
          <s v="02-Jul"/>
          <s v="03-Jul"/>
          <s v="04-Jul"/>
          <s v="05-Jul"/>
          <s v="06-Jul"/>
          <s v="07-Jul"/>
          <s v="08-Jul"/>
          <s v="09-Jul"/>
          <s v="10-Jul"/>
          <s v="11-Jul"/>
          <s v="12-Jul"/>
          <s v="13-Jul"/>
          <s v="14-Jul"/>
          <s v="15-Jul"/>
          <s v="16-Jul"/>
          <s v="17-Jul"/>
          <s v="18-Jul"/>
          <s v="19-Jul"/>
          <s v="20-Jul"/>
          <s v="21-Jul"/>
          <s v="22-Jul"/>
          <s v="23-Jul"/>
          <s v="24-Jul"/>
          <s v="25-Jul"/>
          <s v="26-Jul"/>
          <s v="27-Jul"/>
          <s v="28-Jul"/>
          <s v="29-Jul"/>
          <s v="30-Jul"/>
          <s v="31-Jul"/>
          <s v="01-Aug"/>
          <s v="02-Aug"/>
          <s v="03-Aug"/>
          <s v="04-Aug"/>
          <s v="05-Aug"/>
          <s v="06-Aug"/>
          <s v="07-Aug"/>
          <s v="08-Aug"/>
          <s v="09-Aug"/>
          <s v="10-Aug"/>
          <s v="11-Aug"/>
          <s v="12-Aug"/>
          <s v="13-Aug"/>
          <s v="14-Aug"/>
          <s v="15-Aug"/>
          <s v="16-Aug"/>
          <s v="17-Aug"/>
          <s v="18-Aug"/>
          <s v="19-Aug"/>
          <s v="20-Aug"/>
          <s v="21-Aug"/>
          <s v="22-Aug"/>
          <s v="23-Aug"/>
          <s v="24-Aug"/>
          <s v="25-Aug"/>
          <s v="26-Aug"/>
          <s v="27-Aug"/>
          <s v="28-Aug"/>
          <s v="29-Aug"/>
          <s v="30-Aug"/>
          <s v="31-Aug"/>
          <s v="01-Sep"/>
          <s v="02-Sep"/>
          <s v="03-Sep"/>
          <s v="04-Sep"/>
          <s v="05-Sep"/>
          <s v="06-Sep"/>
          <s v="07-Sep"/>
          <s v="08-Sep"/>
          <s v="09-Sep"/>
          <s v="10-Sep"/>
          <s v="11-Sep"/>
          <s v="12-Sep"/>
          <s v="13-Sep"/>
          <s v="14-Sep"/>
          <s v="15-Sep"/>
          <s v="16-Sep"/>
          <s v="17-Sep"/>
          <s v="18-Sep"/>
          <s v="19-Sep"/>
          <s v="20-Sep"/>
          <s v="21-Sep"/>
          <s v="22-Sep"/>
          <s v="23-Sep"/>
          <s v="24-Sep"/>
          <s v="25-Sep"/>
          <s v="26-Sep"/>
          <s v="27-Sep"/>
          <s v="28-Sep"/>
          <s v="29-Sep"/>
          <s v="30-Sep"/>
          <s v="01-Oct"/>
          <s v="02-Oct"/>
          <s v="03-Oct"/>
          <s v="04-Oct"/>
          <s v="05-Oct"/>
          <s v="06-Oct"/>
          <s v="07-Oct"/>
          <s v="08-Oct"/>
          <s v="09-Oct"/>
          <s v="10-Oct"/>
          <s v="11-Oct"/>
          <s v="12-Oct"/>
          <s v="13-Oct"/>
          <s v="14-Oct"/>
          <s v="15-Oct"/>
          <s v="16-Oct"/>
          <s v="17-Oct"/>
          <s v="18-Oct"/>
          <s v="19-Oct"/>
          <s v="20-Oct"/>
          <s v="21-Oct"/>
          <s v="22-Oct"/>
          <s v="23-Oct"/>
          <s v="24-Oct"/>
          <s v="25-Oct"/>
          <s v="26-Oct"/>
          <s v="27-Oct"/>
          <s v="28-Oct"/>
          <s v="29-Oct"/>
          <s v="30-Oct"/>
          <s v="31-Oct"/>
          <s v="01-Nov"/>
          <s v="02-Nov"/>
          <s v="03-Nov"/>
          <s v="04-Nov"/>
          <s v="05-Nov"/>
          <s v="06-Nov"/>
          <s v="07-Nov"/>
          <s v="08-Nov"/>
          <s v="09-Nov"/>
          <s v="10-Nov"/>
          <s v="11-Nov"/>
          <s v="12-Nov"/>
          <s v="13-Nov"/>
          <s v="14-Nov"/>
          <s v="15-Nov"/>
          <s v="16-Nov"/>
          <s v="17-Nov"/>
          <s v="18-Nov"/>
          <s v="19-Nov"/>
          <s v="20-Nov"/>
          <s v="21-Nov"/>
          <s v="22-Nov"/>
          <s v="23-Nov"/>
          <s v="24-Nov"/>
          <s v="25-Nov"/>
          <s v="26-Nov"/>
          <s v="27-Nov"/>
          <s v="28-Nov"/>
          <s v="29-Nov"/>
          <s v="30-Nov"/>
          <s v="01-Dec"/>
          <s v="02-Dec"/>
          <s v="03-Dec"/>
          <s v="04-Dec"/>
          <s v="05-Dec"/>
          <s v="06-Dec"/>
          <s v="07-Dec"/>
          <s v="08-Dec"/>
          <s v="09-Dec"/>
          <s v="10-Dec"/>
          <s v="11-Dec"/>
          <s v="12-Dec"/>
          <s v="13-Dec"/>
          <s v="14-Dec"/>
          <s v="15-Dec"/>
          <s v="16-Dec"/>
          <s v="17-Dec"/>
          <s v="18-Dec"/>
          <s v="19-Dec"/>
          <s v="20-Dec"/>
          <s v="21-Dec"/>
          <s v="22-Dec"/>
          <s v="23-Dec"/>
          <s v="24-Dec"/>
          <s v="25-Dec"/>
          <s v="26-Dec"/>
          <s v="27-Dec"/>
          <s v="28-Dec"/>
          <s v="29-Dec"/>
          <s v="30-Dec"/>
          <s v="31-Dec"/>
          <s v="&gt;31-12-2024"/>
        </groupItems>
      </fieldGroup>
    </cacheField>
    <cacheField name="Months (Invoice Date)" numFmtId="0" databaseField="0">
      <fieldGroup base="0">
        <rangePr groupBy="months" startDate="2024-01-01T00:00:00" endDate="2024-12-31T00:00:00"/>
        <groupItems count="14">
          <s v="&lt;01-01-2024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31-12-2024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00">
  <r>
    <x v="0"/>
    <s v="Coimbatore"/>
    <x v="0"/>
    <s v="Iron Box"/>
    <n v="8"/>
    <n v="4921"/>
    <s v="Divya"/>
    <n v="39368"/>
  </r>
  <r>
    <x v="1"/>
    <s v="Coimbatore"/>
    <x v="1"/>
    <s v="Smart Watch"/>
    <n v="9"/>
    <n v="4246"/>
    <s v="Arun"/>
    <n v="38214"/>
  </r>
  <r>
    <x v="2"/>
    <s v="Bangalore"/>
    <x v="0"/>
    <s v="Mixer"/>
    <n v="9"/>
    <n v="4161"/>
    <s v="Divya"/>
    <n v="37449"/>
  </r>
  <r>
    <x v="3"/>
    <s v="Bangalore"/>
    <x v="2"/>
    <s v="Rice"/>
    <n v="8"/>
    <n v="4614"/>
    <s v="Rahul"/>
    <n v="36912"/>
  </r>
  <r>
    <x v="4"/>
    <s v="Bangalore"/>
    <x v="3"/>
    <s v="T-Shirt"/>
    <n v="8"/>
    <n v="4480"/>
    <s v="Priya"/>
    <n v="35840"/>
  </r>
  <r>
    <x v="5"/>
    <s v="Hyderabad"/>
    <x v="2"/>
    <s v="Sugar"/>
    <n v="8"/>
    <n v="4424"/>
    <s v="Priya"/>
    <n v="35392"/>
  </r>
  <r>
    <x v="6"/>
    <s v="Coimbatore"/>
    <x v="2"/>
    <s v="Sugar"/>
    <n v="7"/>
    <n v="4959"/>
    <s v="Priya"/>
    <n v="34713"/>
  </r>
  <r>
    <x v="7"/>
    <s v="Chennai"/>
    <x v="0"/>
    <s v="Fan"/>
    <n v="9"/>
    <n v="3743"/>
    <s v="Divya"/>
    <n v="33687"/>
  </r>
  <r>
    <x v="8"/>
    <s v="Chennai"/>
    <x v="3"/>
    <s v="Dress"/>
    <n v="9"/>
    <n v="3696"/>
    <s v="Divya"/>
    <n v="33264"/>
  </r>
  <r>
    <x v="9"/>
    <s v="Hyderabad"/>
    <x v="3"/>
    <s v="Dress"/>
    <n v="9"/>
    <n v="3677"/>
    <s v="Arun"/>
    <n v="33093"/>
  </r>
  <r>
    <x v="10"/>
    <s v="Bangalore"/>
    <x v="1"/>
    <s v="Smart Watch"/>
    <n v="7"/>
    <n v="4713"/>
    <s v="Rahul"/>
    <n v="32991"/>
  </r>
  <r>
    <x v="11"/>
    <s v="Bangalore"/>
    <x v="0"/>
    <s v="Microwave"/>
    <n v="7"/>
    <n v="4692"/>
    <s v="Divya"/>
    <n v="32844"/>
  </r>
  <r>
    <x v="12"/>
    <s v="Chennai"/>
    <x v="2"/>
    <s v="Sugar"/>
    <n v="7"/>
    <n v="4591"/>
    <s v="Rahul"/>
    <n v="32137"/>
  </r>
  <r>
    <x v="13"/>
    <s v="Chennai"/>
    <x v="1"/>
    <s v="Laptop"/>
    <n v="9"/>
    <n v="3456"/>
    <s v="Arun"/>
    <n v="31104"/>
  </r>
  <r>
    <x v="14"/>
    <s v="Bangalore"/>
    <x v="2"/>
    <s v="Snacks"/>
    <n v="8"/>
    <n v="3872"/>
    <s v="Priya"/>
    <n v="30976"/>
  </r>
  <r>
    <x v="15"/>
    <s v="Chennai"/>
    <x v="2"/>
    <s v="Snacks"/>
    <n v="9"/>
    <n v="3402"/>
    <s v="Arun"/>
    <n v="30618"/>
  </r>
  <r>
    <x v="16"/>
    <s v="Chennai"/>
    <x v="1"/>
    <s v="Mobile"/>
    <n v="6"/>
    <n v="4943"/>
    <s v="Karthik"/>
    <n v="29658"/>
  </r>
  <r>
    <x v="17"/>
    <s v="Hyderabad"/>
    <x v="1"/>
    <s v="Mobile"/>
    <n v="7"/>
    <n v="4133"/>
    <s v="Karthik"/>
    <n v="28931"/>
  </r>
  <r>
    <x v="18"/>
    <s v="Chennai"/>
    <x v="3"/>
    <s v="Jacket"/>
    <n v="9"/>
    <n v="3199"/>
    <s v="Divya"/>
    <n v="28791"/>
  </r>
  <r>
    <x v="19"/>
    <s v="Chennai"/>
    <x v="1"/>
    <s v="Smart Watch"/>
    <n v="8"/>
    <n v="3572"/>
    <s v="Divya"/>
    <n v="28576"/>
  </r>
  <r>
    <x v="20"/>
    <s v="Hyderabad"/>
    <x v="3"/>
    <s v="Jeans"/>
    <n v="9"/>
    <n v="3160"/>
    <s v="Divya"/>
    <n v="28440"/>
  </r>
  <r>
    <x v="21"/>
    <s v="Hyderabad"/>
    <x v="2"/>
    <s v="Sugar"/>
    <n v="8"/>
    <n v="3544"/>
    <s v="Karthik"/>
    <n v="28352"/>
  </r>
  <r>
    <x v="22"/>
    <s v="Coimbatore"/>
    <x v="0"/>
    <s v="Fan"/>
    <n v="9"/>
    <n v="3093"/>
    <s v="Priya"/>
    <n v="27837"/>
  </r>
  <r>
    <x v="23"/>
    <s v="Coimbatore"/>
    <x v="2"/>
    <s v="Oil"/>
    <n v="8"/>
    <n v="3454"/>
    <s v="Rahul"/>
    <n v="27632"/>
  </r>
  <r>
    <x v="24"/>
    <s v="Bangalore"/>
    <x v="2"/>
    <s v="Snacks"/>
    <n v="9"/>
    <n v="3038"/>
    <s v="Arun"/>
    <n v="27342"/>
  </r>
  <r>
    <x v="25"/>
    <s v="Chennai"/>
    <x v="3"/>
    <s v="Dress"/>
    <n v="8"/>
    <n v="3404"/>
    <s v="Arun"/>
    <n v="27232"/>
  </r>
  <r>
    <x v="26"/>
    <s v="Bangalore"/>
    <x v="1"/>
    <s v="Headphones"/>
    <n v="9"/>
    <n v="2775"/>
    <s v="Karthik"/>
    <n v="24975"/>
  </r>
  <r>
    <x v="27"/>
    <s v="Chennai"/>
    <x v="3"/>
    <s v="Dress"/>
    <n v="7"/>
    <n v="3557"/>
    <s v="Arun"/>
    <n v="24899"/>
  </r>
  <r>
    <x v="28"/>
    <s v="Hyderabad"/>
    <x v="0"/>
    <s v="Iron Box"/>
    <n v="9"/>
    <n v="2760"/>
    <s v="Priya"/>
    <n v="24840"/>
  </r>
  <r>
    <x v="29"/>
    <s v="Chennai"/>
    <x v="3"/>
    <s v="Jacket"/>
    <n v="8"/>
    <n v="3105"/>
    <s v="Arun"/>
    <n v="24840"/>
  </r>
  <r>
    <x v="30"/>
    <s v="Bangalore"/>
    <x v="1"/>
    <s v="Laptop"/>
    <n v="5"/>
    <n v="4879"/>
    <s v="Karthik"/>
    <n v="24395"/>
  </r>
  <r>
    <x v="31"/>
    <s v="Bangalore"/>
    <x v="3"/>
    <s v="Jacket"/>
    <n v="8"/>
    <n v="2970"/>
    <s v="Karthik"/>
    <n v="23760"/>
  </r>
  <r>
    <x v="21"/>
    <s v="Chennai"/>
    <x v="3"/>
    <s v="Dress"/>
    <n v="5"/>
    <n v="4746"/>
    <s v="Rahul"/>
    <n v="23730"/>
  </r>
  <r>
    <x v="32"/>
    <s v="Chennai"/>
    <x v="3"/>
    <s v="Jeans"/>
    <n v="6"/>
    <n v="3943"/>
    <s v="Priya"/>
    <n v="23658"/>
  </r>
  <r>
    <x v="33"/>
    <s v="Chennai"/>
    <x v="1"/>
    <s v="Mobile"/>
    <n v="7"/>
    <n v="3378"/>
    <s v="Priya"/>
    <n v="23646"/>
  </r>
  <r>
    <x v="34"/>
    <s v="Chennai"/>
    <x v="2"/>
    <s v="Snacks"/>
    <n v="8"/>
    <n v="2873"/>
    <s v="Karthik"/>
    <n v="22984"/>
  </r>
  <r>
    <x v="35"/>
    <s v="Hyderabad"/>
    <x v="1"/>
    <s v="Mobile"/>
    <n v="9"/>
    <n v="2549"/>
    <s v="Karthik"/>
    <n v="22941"/>
  </r>
  <r>
    <x v="36"/>
    <s v="Chennai"/>
    <x v="0"/>
    <s v="Iron Box"/>
    <n v="7"/>
    <n v="3277"/>
    <s v="Rahul"/>
    <n v="22939"/>
  </r>
  <r>
    <x v="37"/>
    <s v="Hyderabad"/>
    <x v="3"/>
    <s v="T-Shirt"/>
    <n v="7"/>
    <n v="3247"/>
    <s v="Karthik"/>
    <n v="22729"/>
  </r>
  <r>
    <x v="38"/>
    <s v="Hyderabad"/>
    <x v="0"/>
    <s v="Fan"/>
    <n v="6"/>
    <n v="3610"/>
    <s v="Karthik"/>
    <n v="21660"/>
  </r>
  <r>
    <x v="39"/>
    <s v="Chennai"/>
    <x v="1"/>
    <s v="Laptop"/>
    <n v="9"/>
    <n v="2396"/>
    <s v="Karthik"/>
    <n v="21564"/>
  </r>
  <r>
    <x v="40"/>
    <s v="Chennai"/>
    <x v="0"/>
    <s v="Microwave"/>
    <n v="6"/>
    <n v="3586"/>
    <s v="Divya"/>
    <n v="21516"/>
  </r>
  <r>
    <x v="41"/>
    <s v="Bangalore"/>
    <x v="0"/>
    <s v="Mixer"/>
    <n v="5"/>
    <n v="4275"/>
    <s v="Divya"/>
    <n v="21375"/>
  </r>
  <r>
    <x v="42"/>
    <s v="Coimbatore"/>
    <x v="2"/>
    <s v="Sugar"/>
    <n v="6"/>
    <n v="3546"/>
    <s v="Rahul"/>
    <n v="21276"/>
  </r>
  <r>
    <x v="43"/>
    <s v="Coimbatore"/>
    <x v="0"/>
    <s v="Microwave"/>
    <n v="8"/>
    <n v="2638"/>
    <s v="Rahul"/>
    <n v="21104"/>
  </r>
  <r>
    <x v="44"/>
    <s v="Coimbatore"/>
    <x v="0"/>
    <s v="Fan"/>
    <n v="5"/>
    <n v="4206"/>
    <s v="Priya"/>
    <n v="21030"/>
  </r>
  <r>
    <x v="45"/>
    <s v="Bangalore"/>
    <x v="3"/>
    <s v="Jacket"/>
    <n v="9"/>
    <n v="2256"/>
    <s v="Divya"/>
    <n v="20304"/>
  </r>
  <r>
    <x v="46"/>
    <s v="Hyderabad"/>
    <x v="2"/>
    <s v="Sugar"/>
    <n v="5"/>
    <n v="4013"/>
    <s v="Rahul"/>
    <n v="20065"/>
  </r>
  <r>
    <x v="1"/>
    <s v="Chennai"/>
    <x v="2"/>
    <s v="Rice"/>
    <n v="4"/>
    <n v="4989"/>
    <s v="Karthik"/>
    <n v="19956"/>
  </r>
  <r>
    <x v="47"/>
    <s v="Chennai"/>
    <x v="1"/>
    <s v="Mobile"/>
    <n v="8"/>
    <n v="2485"/>
    <s v="Karthik"/>
    <n v="19880"/>
  </r>
  <r>
    <x v="48"/>
    <s v="Hyderabad"/>
    <x v="1"/>
    <s v="Headphones"/>
    <n v="4"/>
    <n v="4969"/>
    <s v="Divya"/>
    <n v="19876"/>
  </r>
  <r>
    <x v="48"/>
    <s v="Coimbatore"/>
    <x v="0"/>
    <s v="Fan"/>
    <n v="8"/>
    <n v="2462"/>
    <s v="Rahul"/>
    <n v="19696"/>
  </r>
  <r>
    <x v="49"/>
    <s v="Coimbatore"/>
    <x v="3"/>
    <s v="Jeans"/>
    <n v="7"/>
    <n v="2811"/>
    <s v="Rahul"/>
    <n v="19677"/>
  </r>
  <r>
    <x v="12"/>
    <s v="Chennai"/>
    <x v="2"/>
    <s v="Rice"/>
    <n v="4"/>
    <n v="4880"/>
    <s v="Divya"/>
    <n v="19520"/>
  </r>
  <r>
    <x v="50"/>
    <s v="Chennai"/>
    <x v="1"/>
    <s v="Smart Watch"/>
    <n v="9"/>
    <n v="2162"/>
    <s v="Arun"/>
    <n v="19458"/>
  </r>
  <r>
    <x v="43"/>
    <s v="Coimbatore"/>
    <x v="3"/>
    <s v="Jacket"/>
    <n v="5"/>
    <n v="3736"/>
    <s v="Priya"/>
    <n v="18680"/>
  </r>
  <r>
    <x v="51"/>
    <s v="Bangalore"/>
    <x v="3"/>
    <s v="Dress"/>
    <n v="7"/>
    <n v="2656"/>
    <s v="Karthik"/>
    <n v="18592"/>
  </r>
  <r>
    <x v="52"/>
    <s v="Hyderabad"/>
    <x v="3"/>
    <s v="Jeans"/>
    <n v="4"/>
    <n v="4648"/>
    <s v="Priya"/>
    <n v="18592"/>
  </r>
  <r>
    <x v="53"/>
    <s v="Coimbatore"/>
    <x v="2"/>
    <s v="Rice"/>
    <n v="7"/>
    <n v="2582"/>
    <s v="Rahul"/>
    <n v="18074"/>
  </r>
  <r>
    <x v="17"/>
    <s v="Chennai"/>
    <x v="0"/>
    <s v="Iron Box"/>
    <n v="5"/>
    <n v="3602"/>
    <s v="Priya"/>
    <n v="18010"/>
  </r>
  <r>
    <x v="54"/>
    <s v="Hyderabad"/>
    <x v="3"/>
    <s v="T-Shirt"/>
    <n v="7"/>
    <n v="2554"/>
    <s v="Rahul"/>
    <n v="17878"/>
  </r>
  <r>
    <x v="25"/>
    <s v="Bangalore"/>
    <x v="2"/>
    <s v="Oil"/>
    <n v="6"/>
    <n v="2949"/>
    <s v="Priya"/>
    <n v="17694"/>
  </r>
  <r>
    <x v="55"/>
    <s v="Hyderabad"/>
    <x v="3"/>
    <s v="Jeans"/>
    <n v="8"/>
    <n v="2206"/>
    <s v="Arun"/>
    <n v="17648"/>
  </r>
  <r>
    <x v="56"/>
    <s v="Coimbatore"/>
    <x v="1"/>
    <s v="Mobile"/>
    <n v="8"/>
    <n v="2165"/>
    <s v="Karthik"/>
    <n v="17320"/>
  </r>
  <r>
    <x v="57"/>
    <s v="Bangalore"/>
    <x v="0"/>
    <s v="Mixer"/>
    <n v="5"/>
    <n v="3443"/>
    <s v="Rahul"/>
    <n v="17215"/>
  </r>
  <r>
    <x v="58"/>
    <s v="Bangalore"/>
    <x v="1"/>
    <s v="Mobile"/>
    <n v="8"/>
    <n v="2138"/>
    <s v="Arun"/>
    <n v="17104"/>
  </r>
  <r>
    <x v="59"/>
    <s v="Hyderabad"/>
    <x v="2"/>
    <s v="Rice"/>
    <n v="8"/>
    <n v="2127"/>
    <s v="Karthik"/>
    <n v="17016"/>
  </r>
  <r>
    <x v="60"/>
    <s v="Bangalore"/>
    <x v="0"/>
    <s v="Mixer"/>
    <n v="7"/>
    <n v="2426"/>
    <s v="Arun"/>
    <n v="16982"/>
  </r>
  <r>
    <x v="61"/>
    <s v="Hyderabad"/>
    <x v="2"/>
    <s v="Sugar"/>
    <n v="6"/>
    <n v="2726"/>
    <s v="Priya"/>
    <n v="16356"/>
  </r>
  <r>
    <x v="62"/>
    <s v="Hyderabad"/>
    <x v="0"/>
    <s v="Fan"/>
    <n v="5"/>
    <n v="3220"/>
    <s v="Arun"/>
    <n v="16100"/>
  </r>
  <r>
    <x v="13"/>
    <s v="Hyderabad"/>
    <x v="0"/>
    <s v="Microwave"/>
    <n v="6"/>
    <n v="2608"/>
    <s v="Rahul"/>
    <n v="15648"/>
  </r>
  <r>
    <x v="63"/>
    <s v="Coimbatore"/>
    <x v="2"/>
    <s v="Rice"/>
    <n v="5"/>
    <n v="3082"/>
    <s v="Rahul"/>
    <n v="15410"/>
  </r>
  <r>
    <x v="26"/>
    <s v="Bangalore"/>
    <x v="1"/>
    <s v="Mobile"/>
    <n v="7"/>
    <n v="2156"/>
    <s v="Karthik"/>
    <n v="15092"/>
  </r>
  <r>
    <x v="64"/>
    <s v="Coimbatore"/>
    <x v="1"/>
    <s v="Mobile"/>
    <n v="5"/>
    <n v="2998"/>
    <s v="Divya"/>
    <n v="14990"/>
  </r>
  <r>
    <x v="65"/>
    <s v="Chennai"/>
    <x v="1"/>
    <s v="Headphones"/>
    <n v="4"/>
    <n v="3677"/>
    <s v="Rahul"/>
    <n v="14708"/>
  </r>
  <r>
    <x v="66"/>
    <s v="Chennai"/>
    <x v="1"/>
    <s v="Laptop"/>
    <n v="5"/>
    <n v="2938"/>
    <s v="Divya"/>
    <n v="14690"/>
  </r>
  <r>
    <x v="67"/>
    <s v="Hyderabad"/>
    <x v="1"/>
    <s v="Headphones"/>
    <n v="6"/>
    <n v="2427"/>
    <s v="Priya"/>
    <n v="14562"/>
  </r>
  <r>
    <x v="68"/>
    <s v="Bangalore"/>
    <x v="2"/>
    <s v="Rice"/>
    <n v="7"/>
    <n v="2076"/>
    <s v="Priya"/>
    <n v="14532"/>
  </r>
  <r>
    <x v="69"/>
    <s v="Chennai"/>
    <x v="1"/>
    <s v="Laptop"/>
    <n v="3"/>
    <n v="4799"/>
    <s v="Rahul"/>
    <n v="14397"/>
  </r>
  <r>
    <x v="70"/>
    <s v="Coimbatore"/>
    <x v="1"/>
    <s v="Mobile"/>
    <n v="5"/>
    <n v="2809"/>
    <s v="Divya"/>
    <n v="14045"/>
  </r>
  <r>
    <x v="71"/>
    <s v="Chennai"/>
    <x v="3"/>
    <s v="Jeans"/>
    <n v="3"/>
    <n v="4642"/>
    <s v="Arun"/>
    <n v="13926"/>
  </r>
  <r>
    <x v="30"/>
    <s v="Coimbatore"/>
    <x v="0"/>
    <s v="Microwave"/>
    <n v="3"/>
    <n v="4599"/>
    <s v="Arun"/>
    <n v="13797"/>
  </r>
  <r>
    <x v="72"/>
    <s v="Chennai"/>
    <x v="0"/>
    <s v="Microwave"/>
    <n v="5"/>
    <n v="2693"/>
    <s v="Priya"/>
    <n v="13465"/>
  </r>
  <r>
    <x v="73"/>
    <s v="Coimbatore"/>
    <x v="3"/>
    <s v="Jacket"/>
    <n v="3"/>
    <n v="4464"/>
    <s v="Karthik"/>
    <n v="13392"/>
  </r>
  <r>
    <x v="59"/>
    <s v="Chennai"/>
    <x v="2"/>
    <s v="Sugar"/>
    <n v="4"/>
    <n v="3328"/>
    <s v="Rahul"/>
    <n v="13312"/>
  </r>
  <r>
    <x v="74"/>
    <s v="Chennai"/>
    <x v="3"/>
    <s v="Jacket"/>
    <n v="7"/>
    <n v="1892"/>
    <s v="Rahul"/>
    <n v="13244"/>
  </r>
  <r>
    <x v="75"/>
    <s v="Hyderabad"/>
    <x v="0"/>
    <s v="Iron Box"/>
    <n v="9"/>
    <n v="1453"/>
    <s v="Divya"/>
    <n v="13077"/>
  </r>
  <r>
    <x v="76"/>
    <s v="Coimbatore"/>
    <x v="1"/>
    <s v="Smart Watch"/>
    <n v="7"/>
    <n v="1822"/>
    <s v="Divya"/>
    <n v="12754"/>
  </r>
  <r>
    <x v="77"/>
    <s v="Bangalore"/>
    <x v="3"/>
    <s v="Jacket"/>
    <n v="3"/>
    <n v="4234"/>
    <s v="Rahul"/>
    <n v="12702"/>
  </r>
  <r>
    <x v="59"/>
    <s v="Hyderabad"/>
    <x v="1"/>
    <s v="Mobile"/>
    <n v="5"/>
    <n v="2486"/>
    <s v="Rahul"/>
    <n v="12430"/>
  </r>
  <r>
    <x v="78"/>
    <s v="Bangalore"/>
    <x v="0"/>
    <s v="Iron Box"/>
    <n v="7"/>
    <n v="1746"/>
    <s v="Divya"/>
    <n v="12222"/>
  </r>
  <r>
    <x v="79"/>
    <s v="Hyderabad"/>
    <x v="0"/>
    <s v="Iron Box"/>
    <n v="9"/>
    <n v="1352"/>
    <s v="Karthik"/>
    <n v="12168"/>
  </r>
  <r>
    <x v="80"/>
    <s v="Hyderabad"/>
    <x v="2"/>
    <s v="Snacks"/>
    <n v="4"/>
    <n v="3035"/>
    <s v="Priya"/>
    <n v="12140"/>
  </r>
  <r>
    <x v="81"/>
    <s v="Hyderabad"/>
    <x v="1"/>
    <s v="Laptop"/>
    <n v="6"/>
    <n v="2006"/>
    <s v="Arun"/>
    <n v="12036"/>
  </r>
  <r>
    <x v="82"/>
    <s v="Coimbatore"/>
    <x v="1"/>
    <s v="Headphones"/>
    <n v="3"/>
    <n v="3940"/>
    <s v="Karthik"/>
    <n v="11820"/>
  </r>
  <r>
    <x v="5"/>
    <s v="Chennai"/>
    <x v="2"/>
    <s v="Rice"/>
    <n v="3"/>
    <n v="3795"/>
    <s v="Divya"/>
    <n v="11385"/>
  </r>
  <r>
    <x v="83"/>
    <s v="Bangalore"/>
    <x v="1"/>
    <s v="Smart Watch"/>
    <n v="3"/>
    <n v="3775"/>
    <s v="Priya"/>
    <n v="11325"/>
  </r>
  <r>
    <x v="51"/>
    <s v="Coimbatore"/>
    <x v="2"/>
    <s v="Rice"/>
    <n v="3"/>
    <n v="3775"/>
    <s v="Karthik"/>
    <n v="11325"/>
  </r>
  <r>
    <x v="3"/>
    <s v="Coimbatore"/>
    <x v="1"/>
    <s v="Laptop"/>
    <n v="9"/>
    <n v="1220"/>
    <s v="Divya"/>
    <n v="10980"/>
  </r>
  <r>
    <x v="69"/>
    <s v="Coimbatore"/>
    <x v="3"/>
    <s v="Jacket"/>
    <n v="6"/>
    <n v="1815"/>
    <s v="Karthik"/>
    <n v="10890"/>
  </r>
  <r>
    <x v="39"/>
    <s v="Chennai"/>
    <x v="1"/>
    <s v="Smart Watch"/>
    <n v="3"/>
    <n v="3612"/>
    <s v="Arun"/>
    <n v="10836"/>
  </r>
  <r>
    <x v="36"/>
    <s v="Chennai"/>
    <x v="2"/>
    <s v="Rice"/>
    <n v="5"/>
    <n v="2148"/>
    <s v="Rahul"/>
    <n v="10740"/>
  </r>
  <r>
    <x v="66"/>
    <s v="Bangalore"/>
    <x v="0"/>
    <s v="Iron Box"/>
    <n v="6"/>
    <n v="1786"/>
    <s v="Priya"/>
    <n v="10716"/>
  </r>
  <r>
    <x v="84"/>
    <s v="Chennai"/>
    <x v="0"/>
    <s v="Microwave"/>
    <n v="8"/>
    <n v="1318"/>
    <s v="Divya"/>
    <n v="10544"/>
  </r>
  <r>
    <x v="85"/>
    <s v="Bangalore"/>
    <x v="1"/>
    <s v="Laptop"/>
    <n v="3"/>
    <n v="3424"/>
    <s v="Rahul"/>
    <n v="10272"/>
  </r>
  <r>
    <x v="86"/>
    <s v="Chennai"/>
    <x v="2"/>
    <s v="Sugar"/>
    <n v="2"/>
    <n v="4946"/>
    <s v="Priya"/>
    <n v="9892"/>
  </r>
  <r>
    <x v="87"/>
    <s v="Coimbatore"/>
    <x v="3"/>
    <s v="Jeans"/>
    <n v="5"/>
    <n v="1965"/>
    <s v="Rahul"/>
    <n v="9825"/>
  </r>
  <r>
    <x v="88"/>
    <s v="Coimbatore"/>
    <x v="1"/>
    <s v="Mobile"/>
    <n v="7"/>
    <n v="1401"/>
    <s v="Divya"/>
    <n v="9807"/>
  </r>
  <r>
    <x v="51"/>
    <s v="Hyderabad"/>
    <x v="2"/>
    <s v="Oil"/>
    <n v="2"/>
    <n v="4818"/>
    <s v="Arun"/>
    <n v="9636"/>
  </r>
  <r>
    <x v="31"/>
    <s v="Coimbatore"/>
    <x v="1"/>
    <s v="Laptop"/>
    <n v="2"/>
    <n v="4529"/>
    <s v="Divya"/>
    <n v="9058"/>
  </r>
  <r>
    <x v="89"/>
    <s v="Bangalore"/>
    <x v="1"/>
    <s v="Smart Watch"/>
    <n v="7"/>
    <n v="1284"/>
    <s v="Priya"/>
    <n v="8988"/>
  </r>
  <r>
    <x v="30"/>
    <s v="Bangalore"/>
    <x v="1"/>
    <s v="Headphones"/>
    <n v="4"/>
    <n v="2243"/>
    <s v="Rahul"/>
    <n v="8972"/>
  </r>
  <r>
    <x v="90"/>
    <s v="Coimbatore"/>
    <x v="0"/>
    <s v="Fan"/>
    <n v="5"/>
    <n v="1773"/>
    <s v="Rahul"/>
    <n v="8865"/>
  </r>
  <r>
    <x v="79"/>
    <s v="Bangalore"/>
    <x v="3"/>
    <s v="Dress"/>
    <n v="2"/>
    <n v="4397"/>
    <s v="Divya"/>
    <n v="8794"/>
  </r>
  <r>
    <x v="91"/>
    <s v="Chennai"/>
    <x v="3"/>
    <s v="Jacket"/>
    <n v="4"/>
    <n v="2126"/>
    <s v="Priya"/>
    <n v="8504"/>
  </r>
  <r>
    <x v="92"/>
    <s v="Hyderabad"/>
    <x v="0"/>
    <s v="Microwave"/>
    <n v="4"/>
    <n v="2081"/>
    <s v="Priya"/>
    <n v="8324"/>
  </r>
  <r>
    <x v="47"/>
    <s v="Hyderabad"/>
    <x v="3"/>
    <s v="Dress"/>
    <n v="8"/>
    <n v="999"/>
    <s v="Arun"/>
    <n v="7992"/>
  </r>
  <r>
    <x v="80"/>
    <s v="Bangalore"/>
    <x v="3"/>
    <s v="Jeans"/>
    <n v="2"/>
    <n v="3898"/>
    <s v="Priya"/>
    <n v="7796"/>
  </r>
  <r>
    <x v="93"/>
    <s v="Chennai"/>
    <x v="1"/>
    <s v="Headphones"/>
    <n v="3"/>
    <n v="2590"/>
    <s v="Arun"/>
    <n v="7770"/>
  </r>
  <r>
    <x v="32"/>
    <s v="Bangalore"/>
    <x v="0"/>
    <s v="Fan"/>
    <n v="2"/>
    <n v="3877"/>
    <s v="Rahul"/>
    <n v="7754"/>
  </r>
  <r>
    <x v="94"/>
    <s v="Chennai"/>
    <x v="0"/>
    <s v="Microwave"/>
    <n v="2"/>
    <n v="3846"/>
    <s v="Rahul"/>
    <n v="7692"/>
  </r>
  <r>
    <x v="95"/>
    <s v="Chennai"/>
    <x v="1"/>
    <s v="Smart Watch"/>
    <n v="4"/>
    <n v="1857"/>
    <s v="Karthik"/>
    <n v="7428"/>
  </r>
  <r>
    <x v="96"/>
    <s v="Coimbatore"/>
    <x v="3"/>
    <s v="Jacket"/>
    <n v="7"/>
    <n v="1043"/>
    <s v="Arun"/>
    <n v="7301"/>
  </r>
  <r>
    <x v="97"/>
    <s v="Hyderabad"/>
    <x v="2"/>
    <s v="Sugar"/>
    <n v="2"/>
    <n v="3562"/>
    <s v="Arun"/>
    <n v="7124"/>
  </r>
  <r>
    <x v="98"/>
    <s v="Chennai"/>
    <x v="1"/>
    <s v="Laptop"/>
    <n v="4"/>
    <n v="1780"/>
    <s v="Rahul"/>
    <n v="7120"/>
  </r>
  <r>
    <x v="99"/>
    <s v="Chennai"/>
    <x v="1"/>
    <s v="Mobile"/>
    <n v="9"/>
    <n v="775"/>
    <s v="Karthik"/>
    <n v="6975"/>
  </r>
  <r>
    <x v="100"/>
    <s v="Chennai"/>
    <x v="3"/>
    <s v="T-Shirt"/>
    <n v="6"/>
    <n v="1160"/>
    <s v="Arun"/>
    <n v="6960"/>
  </r>
  <r>
    <x v="101"/>
    <s v="Chennai"/>
    <x v="2"/>
    <s v="Oil"/>
    <n v="2"/>
    <n v="3381"/>
    <s v="Karthik"/>
    <n v="6762"/>
  </r>
  <r>
    <x v="47"/>
    <s v="Hyderabad"/>
    <x v="3"/>
    <s v="T-Shirt"/>
    <n v="4"/>
    <n v="1685"/>
    <s v="Priya"/>
    <n v="6740"/>
  </r>
  <r>
    <x v="32"/>
    <s v="Bangalore"/>
    <x v="1"/>
    <s v="Smart Watch"/>
    <n v="2"/>
    <n v="3167"/>
    <s v="Arun"/>
    <n v="6334"/>
  </r>
  <r>
    <x v="102"/>
    <s v="Coimbatore"/>
    <x v="2"/>
    <s v="Rice"/>
    <n v="3"/>
    <n v="2096"/>
    <s v="Arun"/>
    <n v="6288"/>
  </r>
  <r>
    <x v="102"/>
    <s v="Hyderabad"/>
    <x v="0"/>
    <s v="Microwave"/>
    <n v="5"/>
    <n v="1245"/>
    <s v="Priya"/>
    <n v="6225"/>
  </r>
  <r>
    <x v="103"/>
    <s v="Bangalore"/>
    <x v="2"/>
    <s v="Rice"/>
    <n v="5"/>
    <n v="1241"/>
    <s v="Divya"/>
    <n v="6205"/>
  </r>
  <r>
    <x v="104"/>
    <s v="Hyderabad"/>
    <x v="0"/>
    <s v="Fan"/>
    <n v="3"/>
    <n v="2001"/>
    <s v="Arun"/>
    <n v="6003"/>
  </r>
  <r>
    <x v="105"/>
    <s v="Hyderabad"/>
    <x v="2"/>
    <s v="Sugar"/>
    <n v="3"/>
    <n v="1999"/>
    <s v="Arun"/>
    <n v="5997"/>
  </r>
  <r>
    <x v="106"/>
    <s v="Hyderabad"/>
    <x v="2"/>
    <s v="Snacks"/>
    <n v="4"/>
    <n v="1469"/>
    <s v="Divya"/>
    <n v="5876"/>
  </r>
  <r>
    <x v="107"/>
    <s v="Hyderabad"/>
    <x v="3"/>
    <s v="Jacket"/>
    <n v="3"/>
    <n v="1941"/>
    <s v="Priya"/>
    <n v="5823"/>
  </r>
  <r>
    <x v="9"/>
    <s v="Bangalore"/>
    <x v="2"/>
    <s v="Sugar"/>
    <n v="2"/>
    <n v="2874"/>
    <s v="Arun"/>
    <n v="5748"/>
  </r>
  <r>
    <x v="3"/>
    <s v="Coimbatore"/>
    <x v="2"/>
    <s v="Rice"/>
    <n v="5"/>
    <n v="1115"/>
    <s v="Arun"/>
    <n v="5575"/>
  </r>
  <r>
    <x v="108"/>
    <s v="Bangalore"/>
    <x v="1"/>
    <s v="Smart Watch"/>
    <n v="2"/>
    <n v="2646"/>
    <s v="Arun"/>
    <n v="5292"/>
  </r>
  <r>
    <x v="109"/>
    <s v="Chennai"/>
    <x v="3"/>
    <s v="Jeans"/>
    <n v="4"/>
    <n v="1305"/>
    <s v="Karthik"/>
    <n v="5220"/>
  </r>
  <r>
    <x v="110"/>
    <s v="Chennai"/>
    <x v="0"/>
    <s v="Fan"/>
    <n v="9"/>
    <n v="554"/>
    <s v="Priya"/>
    <n v="4986"/>
  </r>
  <r>
    <x v="111"/>
    <s v="Coimbatore"/>
    <x v="3"/>
    <s v="T-Shirt"/>
    <n v="2"/>
    <n v="2491"/>
    <s v="Divya"/>
    <n v="4982"/>
  </r>
  <r>
    <x v="112"/>
    <s v="Bangalore"/>
    <x v="0"/>
    <s v="Iron Box"/>
    <n v="4"/>
    <n v="1236"/>
    <s v="Karthik"/>
    <n v="4944"/>
  </r>
  <r>
    <x v="113"/>
    <s v="Chennai"/>
    <x v="1"/>
    <s v="Laptop"/>
    <n v="1"/>
    <n v="4770"/>
    <s v="Arun"/>
    <n v="4770"/>
  </r>
  <r>
    <x v="114"/>
    <s v="Coimbatore"/>
    <x v="1"/>
    <s v="Smart Watch"/>
    <n v="1"/>
    <n v="4754"/>
    <s v="Rahul"/>
    <n v="4754"/>
  </r>
  <r>
    <x v="115"/>
    <s v="Coimbatore"/>
    <x v="0"/>
    <s v="Fan"/>
    <n v="1"/>
    <n v="4683"/>
    <s v="Divya"/>
    <n v="4683"/>
  </r>
  <r>
    <x v="116"/>
    <s v="Hyderabad"/>
    <x v="3"/>
    <s v="T-Shirt"/>
    <n v="1"/>
    <n v="4648"/>
    <s v="Karthik"/>
    <n v="4648"/>
  </r>
  <r>
    <x v="70"/>
    <s v="Hyderabad"/>
    <x v="1"/>
    <s v="Smart Watch"/>
    <n v="1"/>
    <n v="4593"/>
    <s v="Divya"/>
    <n v="4593"/>
  </r>
  <r>
    <x v="117"/>
    <s v="Coimbatore"/>
    <x v="2"/>
    <s v="Oil"/>
    <n v="2"/>
    <n v="2261"/>
    <s v="Karthik"/>
    <n v="4522"/>
  </r>
  <r>
    <x v="118"/>
    <s v="Coimbatore"/>
    <x v="0"/>
    <s v="Mixer"/>
    <n v="2"/>
    <n v="2141"/>
    <s v="Rahul"/>
    <n v="4282"/>
  </r>
  <r>
    <x v="60"/>
    <s v="Coimbatore"/>
    <x v="3"/>
    <s v="Dress"/>
    <n v="1"/>
    <n v="4258"/>
    <s v="Karthik"/>
    <n v="4258"/>
  </r>
  <r>
    <x v="119"/>
    <s v="Hyderabad"/>
    <x v="0"/>
    <s v="Mixer"/>
    <n v="1"/>
    <n v="4197"/>
    <s v="Rahul"/>
    <n v="4197"/>
  </r>
  <r>
    <x v="120"/>
    <s v="Hyderabad"/>
    <x v="1"/>
    <s v="Laptop"/>
    <n v="6"/>
    <n v="669"/>
    <s v="Priya"/>
    <n v="4014"/>
  </r>
  <r>
    <x v="30"/>
    <s v="Chennai"/>
    <x v="2"/>
    <s v="Snacks"/>
    <n v="3"/>
    <n v="1305"/>
    <s v="Divya"/>
    <n v="3915"/>
  </r>
  <r>
    <x v="37"/>
    <s v="Coimbatore"/>
    <x v="2"/>
    <s v="Oil"/>
    <n v="8"/>
    <n v="464"/>
    <s v="Karthik"/>
    <n v="3712"/>
  </r>
  <r>
    <x v="121"/>
    <s v="Bangalore"/>
    <x v="3"/>
    <s v="Jeans"/>
    <n v="1"/>
    <n v="3694"/>
    <s v="Priya"/>
    <n v="3694"/>
  </r>
  <r>
    <x v="77"/>
    <s v="Coimbatore"/>
    <x v="0"/>
    <s v="Mixer"/>
    <n v="1"/>
    <n v="3574"/>
    <s v="Rahul"/>
    <n v="3574"/>
  </r>
  <r>
    <x v="24"/>
    <s v="Hyderabad"/>
    <x v="1"/>
    <s v="Laptop"/>
    <n v="8"/>
    <n v="437"/>
    <s v="Priya"/>
    <n v="3496"/>
  </r>
  <r>
    <x v="122"/>
    <s v="Hyderabad"/>
    <x v="2"/>
    <s v="Sugar"/>
    <n v="1"/>
    <n v="3491"/>
    <s v="Rahul"/>
    <n v="3491"/>
  </r>
  <r>
    <x v="105"/>
    <s v="Bangalore"/>
    <x v="2"/>
    <s v="Snacks"/>
    <n v="1"/>
    <n v="3435"/>
    <s v="Karthik"/>
    <n v="3435"/>
  </r>
  <r>
    <x v="123"/>
    <s v="Bangalore"/>
    <x v="3"/>
    <s v="Dress"/>
    <n v="1"/>
    <n v="3424"/>
    <s v="Rahul"/>
    <n v="3424"/>
  </r>
  <r>
    <x v="124"/>
    <s v="Bangalore"/>
    <x v="0"/>
    <s v="Mixer"/>
    <n v="4"/>
    <n v="850"/>
    <s v="Karthik"/>
    <n v="3400"/>
  </r>
  <r>
    <x v="73"/>
    <s v="Bangalore"/>
    <x v="3"/>
    <s v="Jeans"/>
    <n v="1"/>
    <n v="3372"/>
    <s v="Rahul"/>
    <n v="3372"/>
  </r>
  <r>
    <x v="125"/>
    <s v="Chennai"/>
    <x v="0"/>
    <s v="Mixer"/>
    <n v="5"/>
    <n v="674"/>
    <s v="Priya"/>
    <n v="3370"/>
  </r>
  <r>
    <x v="126"/>
    <s v="Coimbatore"/>
    <x v="3"/>
    <s v="Jeans"/>
    <n v="1"/>
    <n v="3275"/>
    <s v="Rahul"/>
    <n v="3275"/>
  </r>
  <r>
    <x v="127"/>
    <s v="Chennai"/>
    <x v="3"/>
    <s v="T-Shirt"/>
    <n v="2"/>
    <n v="1616"/>
    <s v="Divya"/>
    <n v="3232"/>
  </r>
  <r>
    <x v="122"/>
    <s v="Hyderabad"/>
    <x v="0"/>
    <s v="Mixer"/>
    <n v="1"/>
    <n v="3224"/>
    <s v="Divya"/>
    <n v="3224"/>
  </r>
  <r>
    <x v="128"/>
    <s v="Coimbatore"/>
    <x v="3"/>
    <s v="T-Shirt"/>
    <n v="5"/>
    <n v="623"/>
    <s v="Priya"/>
    <n v="3115"/>
  </r>
  <r>
    <x v="23"/>
    <s v="Chennai"/>
    <x v="1"/>
    <s v="Laptop"/>
    <n v="7"/>
    <n v="441"/>
    <s v="Karthik"/>
    <n v="3087"/>
  </r>
  <r>
    <x v="129"/>
    <s v="Chennai"/>
    <x v="0"/>
    <s v="Microwave"/>
    <n v="4"/>
    <n v="745"/>
    <s v="Karthik"/>
    <n v="2980"/>
  </r>
  <r>
    <x v="130"/>
    <s v="Coimbatore"/>
    <x v="1"/>
    <s v="Mobile"/>
    <n v="1"/>
    <n v="2949"/>
    <s v="Arun"/>
    <n v="2949"/>
  </r>
  <r>
    <x v="95"/>
    <s v="Chennai"/>
    <x v="1"/>
    <s v="Headphones"/>
    <n v="3"/>
    <n v="963"/>
    <s v="Divya"/>
    <n v="2889"/>
  </r>
  <r>
    <x v="131"/>
    <s v="Hyderabad"/>
    <x v="3"/>
    <s v="Jacket"/>
    <n v="1"/>
    <n v="2673"/>
    <s v="Priya"/>
    <n v="2673"/>
  </r>
  <r>
    <x v="4"/>
    <s v="Chennai"/>
    <x v="1"/>
    <s v="Smart Watch"/>
    <n v="6"/>
    <n v="441"/>
    <s v="Arun"/>
    <n v="2646"/>
  </r>
  <r>
    <x v="132"/>
    <s v="Bangalore"/>
    <x v="1"/>
    <s v="Laptop"/>
    <n v="3"/>
    <n v="860"/>
    <s v="Karthik"/>
    <n v="2580"/>
  </r>
  <r>
    <x v="104"/>
    <s v="Coimbatore"/>
    <x v="2"/>
    <s v="Snacks"/>
    <n v="7"/>
    <n v="349"/>
    <s v="Karthik"/>
    <n v="2443"/>
  </r>
  <r>
    <x v="133"/>
    <s v="Bangalore"/>
    <x v="3"/>
    <s v="T-Shirt"/>
    <n v="3"/>
    <n v="799"/>
    <s v="Rahul"/>
    <n v="2397"/>
  </r>
  <r>
    <x v="134"/>
    <s v="Hyderabad"/>
    <x v="2"/>
    <s v="Snacks"/>
    <n v="3"/>
    <n v="766"/>
    <s v="Priya"/>
    <n v="2298"/>
  </r>
  <r>
    <x v="14"/>
    <s v="Chennai"/>
    <x v="2"/>
    <s v="Rice"/>
    <n v="3"/>
    <n v="746"/>
    <s v="Priya"/>
    <n v="2238"/>
  </r>
  <r>
    <x v="116"/>
    <s v="Bangalore"/>
    <x v="1"/>
    <s v="Laptop"/>
    <n v="4"/>
    <n v="555"/>
    <s v="Arun"/>
    <n v="2220"/>
  </r>
  <r>
    <x v="27"/>
    <s v="Bangalore"/>
    <x v="2"/>
    <s v="Snacks"/>
    <n v="1"/>
    <n v="2155"/>
    <s v="Rahul"/>
    <n v="2155"/>
  </r>
  <r>
    <x v="95"/>
    <s v="Bangalore"/>
    <x v="0"/>
    <s v="Microwave"/>
    <n v="1"/>
    <n v="2135"/>
    <s v="Divya"/>
    <n v="2135"/>
  </r>
  <r>
    <x v="38"/>
    <s v="Hyderabad"/>
    <x v="3"/>
    <s v="T-Shirt"/>
    <n v="2"/>
    <n v="946"/>
    <s v="Priya"/>
    <n v="1892"/>
  </r>
  <r>
    <x v="135"/>
    <s v="Chennai"/>
    <x v="0"/>
    <s v="Fan"/>
    <n v="9"/>
    <n v="198"/>
    <s v="Priya"/>
    <n v="1782"/>
  </r>
  <r>
    <x v="136"/>
    <s v="Bangalore"/>
    <x v="2"/>
    <s v="Rice"/>
    <n v="1"/>
    <n v="1733"/>
    <s v="Arun"/>
    <n v="1733"/>
  </r>
  <r>
    <x v="137"/>
    <s v="Chennai"/>
    <x v="0"/>
    <s v="Fan"/>
    <n v="4"/>
    <n v="420"/>
    <s v="Arun"/>
    <n v="1680"/>
  </r>
  <r>
    <x v="138"/>
    <s v="Hyderabad"/>
    <x v="0"/>
    <s v="Microwave"/>
    <n v="1"/>
    <n v="1545"/>
    <s v="Karthik"/>
    <n v="1545"/>
  </r>
  <r>
    <x v="139"/>
    <s v="Coimbatore"/>
    <x v="3"/>
    <s v="Jacket"/>
    <n v="1"/>
    <n v="1496"/>
    <s v="Karthik"/>
    <n v="1496"/>
  </r>
  <r>
    <x v="13"/>
    <s v="Chennai"/>
    <x v="0"/>
    <s v="Fan"/>
    <n v="2"/>
    <n v="639"/>
    <s v="Arun"/>
    <n v="1278"/>
  </r>
  <r>
    <x v="140"/>
    <s v="Chennai"/>
    <x v="2"/>
    <s v="Oil"/>
    <n v="1"/>
    <n v="1177"/>
    <s v="Karthik"/>
    <n v="1177"/>
  </r>
  <r>
    <x v="67"/>
    <s v="Chennai"/>
    <x v="3"/>
    <s v="Jacket"/>
    <n v="1"/>
    <n v="1115"/>
    <s v="Divya"/>
    <n v="1115"/>
  </r>
  <r>
    <x v="141"/>
    <s v="Coimbatore"/>
    <x v="2"/>
    <s v="Snacks"/>
    <n v="1"/>
    <n v="923"/>
    <s v="Priya"/>
    <n v="923"/>
  </r>
  <r>
    <x v="60"/>
    <s v="Coimbatore"/>
    <x v="3"/>
    <s v="T-Shirt"/>
    <n v="1"/>
    <n v="695"/>
    <s v="Rahul"/>
    <n v="695"/>
  </r>
  <r>
    <x v="142"/>
    <s v="Chennai"/>
    <x v="0"/>
    <s v="Mixer"/>
    <n v="4"/>
    <n v="140"/>
    <s v="Rahul"/>
    <n v="560"/>
  </r>
  <r>
    <x v="26"/>
    <s v="Bangalore"/>
    <x v="2"/>
    <s v="Sugar"/>
    <n v="1"/>
    <n v="495"/>
    <s v="Divya"/>
    <n v="495"/>
  </r>
  <r>
    <x v="136"/>
    <s v="Bangalore"/>
    <x v="3"/>
    <s v="Dress"/>
    <n v="2"/>
    <n v="214"/>
    <s v="Divya"/>
    <n v="428"/>
  </r>
  <r>
    <x v="143"/>
    <s v="Bangalore"/>
    <x v="2"/>
    <s v="Snacks"/>
    <n v="2"/>
    <n v="194"/>
    <s v="Divya"/>
    <n v="388"/>
  </r>
  <r>
    <x v="144"/>
    <s v="Coimbatore"/>
    <x v="2"/>
    <s v="Rice"/>
    <n v="2"/>
    <n v="109"/>
    <s v="Priya"/>
    <n v="218"/>
  </r>
  <r>
    <x v="90"/>
    <s v="Hyderabad"/>
    <x v="0"/>
    <s v="Iron Box"/>
    <n v="1"/>
    <n v="116"/>
    <s v="Rahul"/>
    <n v="116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6C5CDA4-061C-46F2-9E3C-32F8EF2E8073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A1:B14" firstHeaderRow="1" firstDataRow="1" firstDataCol="1"/>
  <pivotFields count="10">
    <pivotField axis="axisRow" numFmtId="164" showAll="0">
      <items count="146">
        <item x="114"/>
        <item x="7"/>
        <item x="82"/>
        <item x="28"/>
        <item x="96"/>
        <item x="131"/>
        <item x="107"/>
        <item x="0"/>
        <item x="81"/>
        <item x="12"/>
        <item x="14"/>
        <item x="42"/>
        <item x="23"/>
        <item x="1"/>
        <item x="94"/>
        <item x="142"/>
        <item x="34"/>
        <item x="5"/>
        <item x="46"/>
        <item x="39"/>
        <item x="36"/>
        <item x="24"/>
        <item x="139"/>
        <item x="105"/>
        <item x="83"/>
        <item x="122"/>
        <item x="54"/>
        <item x="4"/>
        <item x="127"/>
        <item x="86"/>
        <item x="64"/>
        <item x="85"/>
        <item x="134"/>
        <item x="58"/>
        <item x="130"/>
        <item x="21"/>
        <item x="138"/>
        <item x="136"/>
        <item x="27"/>
        <item x="143"/>
        <item x="133"/>
        <item x="141"/>
        <item x="129"/>
        <item x="73"/>
        <item x="77"/>
        <item x="66"/>
        <item x="84"/>
        <item x="119"/>
        <item x="20"/>
        <item x="18"/>
        <item x="59"/>
        <item x="31"/>
        <item x="113"/>
        <item x="65"/>
        <item x="45"/>
        <item x="106"/>
        <item x="124"/>
        <item x="132"/>
        <item x="30"/>
        <item x="135"/>
        <item x="37"/>
        <item x="11"/>
        <item x="104"/>
        <item x="43"/>
        <item x="69"/>
        <item x="90"/>
        <item x="110"/>
        <item x="61"/>
        <item x="25"/>
        <item x="112"/>
        <item x="57"/>
        <item x="15"/>
        <item x="10"/>
        <item x="38"/>
        <item x="52"/>
        <item x="29"/>
        <item x="53"/>
        <item x="8"/>
        <item x="41"/>
        <item x="55"/>
        <item x="60"/>
        <item x="13"/>
        <item x="117"/>
        <item x="63"/>
        <item x="75"/>
        <item x="6"/>
        <item x="33"/>
        <item x="123"/>
        <item x="95"/>
        <item x="26"/>
        <item x="121"/>
        <item x="88"/>
        <item x="140"/>
        <item x="78"/>
        <item x="108"/>
        <item x="76"/>
        <item x="125"/>
        <item x="49"/>
        <item x="44"/>
        <item x="93"/>
        <item x="89"/>
        <item x="56"/>
        <item x="91"/>
        <item x="72"/>
        <item x="51"/>
        <item x="118"/>
        <item x="79"/>
        <item x="68"/>
        <item x="40"/>
        <item x="70"/>
        <item x="100"/>
        <item x="22"/>
        <item x="115"/>
        <item x="3"/>
        <item x="80"/>
        <item x="111"/>
        <item x="35"/>
        <item x="2"/>
        <item x="126"/>
        <item x="50"/>
        <item x="74"/>
        <item x="71"/>
        <item x="17"/>
        <item x="32"/>
        <item x="144"/>
        <item x="109"/>
        <item x="116"/>
        <item x="137"/>
        <item x="120"/>
        <item x="103"/>
        <item x="67"/>
        <item x="98"/>
        <item x="19"/>
        <item x="92"/>
        <item x="62"/>
        <item x="9"/>
        <item x="16"/>
        <item x="128"/>
        <item x="101"/>
        <item x="102"/>
        <item x="97"/>
        <item x="87"/>
        <item x="99"/>
        <item x="47"/>
        <item x="48"/>
        <item t="default"/>
      </items>
    </pivotField>
    <pivotField showAll="0"/>
    <pivotField showAll="0"/>
    <pivotField showAll="0"/>
    <pivotField showAll="0"/>
    <pivotField showAll="0"/>
    <pivotField showAll="0"/>
    <pivotField dataField="1" showAll="0"/>
    <pivotField axis="axisRow" showAll="0">
      <items count="369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sd="0" x="62"/>
        <item sd="0" x="63"/>
        <item sd="0" x="64"/>
        <item sd="0" x="65"/>
        <item sd="0" x="66"/>
        <item sd="0" x="67"/>
        <item sd="0" x="68"/>
        <item sd="0" x="69"/>
        <item sd="0" x="70"/>
        <item sd="0" x="71"/>
        <item sd="0" x="72"/>
        <item sd="0" x="73"/>
        <item sd="0" x="74"/>
        <item sd="0" x="75"/>
        <item sd="0" x="76"/>
        <item sd="0" x="77"/>
        <item sd="0" x="78"/>
        <item sd="0" x="79"/>
        <item sd="0" x="80"/>
        <item sd="0" x="81"/>
        <item sd="0" x="82"/>
        <item sd="0" x="83"/>
        <item sd="0" x="84"/>
        <item sd="0" x="85"/>
        <item sd="0" x="86"/>
        <item sd="0" x="87"/>
        <item sd="0" x="88"/>
        <item sd="0" x="89"/>
        <item sd="0" x="90"/>
        <item sd="0" x="91"/>
        <item sd="0" x="92"/>
        <item sd="0" x="93"/>
        <item sd="0" x="94"/>
        <item sd="0" x="95"/>
        <item sd="0" x="96"/>
        <item sd="0" x="97"/>
        <item sd="0" x="98"/>
        <item sd="0" x="99"/>
        <item sd="0" x="100"/>
        <item sd="0" x="101"/>
        <item sd="0" x="102"/>
        <item sd="0" x="103"/>
        <item sd="0" x="104"/>
        <item sd="0" x="105"/>
        <item sd="0" x="106"/>
        <item sd="0" x="107"/>
        <item sd="0" x="108"/>
        <item sd="0" x="109"/>
        <item sd="0" x="110"/>
        <item sd="0" x="111"/>
        <item sd="0" x="112"/>
        <item sd="0" x="113"/>
        <item sd="0" x="114"/>
        <item sd="0" x="115"/>
        <item sd="0" x="116"/>
        <item sd="0" x="117"/>
        <item sd="0" x="118"/>
        <item sd="0" x="119"/>
        <item sd="0" x="120"/>
        <item sd="0" x="121"/>
        <item sd="0" x="122"/>
        <item sd="0" x="123"/>
        <item sd="0" x="124"/>
        <item sd="0" x="125"/>
        <item sd="0" x="126"/>
        <item sd="0" x="127"/>
        <item sd="0" x="128"/>
        <item sd="0" x="129"/>
        <item sd="0" x="130"/>
        <item sd="0" x="131"/>
        <item sd="0" x="132"/>
        <item sd="0" x="133"/>
        <item sd="0" x="134"/>
        <item sd="0" x="135"/>
        <item sd="0" x="136"/>
        <item sd="0" x="137"/>
        <item sd="0" x="138"/>
        <item sd="0" x="139"/>
        <item sd="0" x="140"/>
        <item sd="0" x="141"/>
        <item sd="0" x="142"/>
        <item sd="0" x="143"/>
        <item sd="0" x="144"/>
        <item sd="0" x="145"/>
        <item sd="0" x="146"/>
        <item sd="0" x="147"/>
        <item sd="0" x="148"/>
        <item sd="0" x="149"/>
        <item sd="0" x="150"/>
        <item sd="0" x="151"/>
        <item sd="0" x="152"/>
        <item sd="0" x="153"/>
        <item sd="0" x="154"/>
        <item sd="0" x="155"/>
        <item sd="0" x="156"/>
        <item sd="0" x="157"/>
        <item sd="0" x="158"/>
        <item sd="0" x="159"/>
        <item sd="0" x="160"/>
        <item sd="0" x="161"/>
        <item sd="0" x="162"/>
        <item sd="0" x="163"/>
        <item sd="0" x="164"/>
        <item sd="0" x="165"/>
        <item sd="0" x="166"/>
        <item sd="0" x="167"/>
        <item sd="0" x="168"/>
        <item sd="0" x="169"/>
        <item sd="0" x="170"/>
        <item sd="0" x="171"/>
        <item sd="0" x="172"/>
        <item sd="0" x="173"/>
        <item sd="0" x="174"/>
        <item sd="0" x="175"/>
        <item sd="0" x="176"/>
        <item sd="0" x="177"/>
        <item sd="0" x="178"/>
        <item sd="0" x="179"/>
        <item sd="0" x="180"/>
        <item sd="0" x="181"/>
        <item sd="0" x="182"/>
        <item sd="0" x="183"/>
        <item sd="0" x="184"/>
        <item sd="0" x="185"/>
        <item sd="0" x="186"/>
        <item sd="0" x="187"/>
        <item sd="0" x="188"/>
        <item sd="0" x="189"/>
        <item sd="0" x="190"/>
        <item sd="0" x="191"/>
        <item sd="0" x="192"/>
        <item sd="0" x="193"/>
        <item sd="0" x="194"/>
        <item sd="0" x="195"/>
        <item sd="0" x="196"/>
        <item sd="0" x="197"/>
        <item sd="0" x="198"/>
        <item sd="0" x="199"/>
        <item sd="0" x="200"/>
        <item sd="0" x="201"/>
        <item sd="0" x="202"/>
        <item sd="0" x="203"/>
        <item sd="0" x="204"/>
        <item sd="0" x="205"/>
        <item sd="0" x="206"/>
        <item sd="0" x="207"/>
        <item sd="0" x="208"/>
        <item sd="0" x="209"/>
        <item sd="0" x="210"/>
        <item sd="0" x="211"/>
        <item sd="0" x="212"/>
        <item sd="0" x="213"/>
        <item sd="0" x="214"/>
        <item sd="0" x="215"/>
        <item sd="0" x="216"/>
        <item sd="0" x="217"/>
        <item sd="0" x="218"/>
        <item sd="0" x="219"/>
        <item sd="0" x="220"/>
        <item sd="0" x="221"/>
        <item sd="0" x="222"/>
        <item sd="0" x="223"/>
        <item sd="0" x="224"/>
        <item sd="0" x="225"/>
        <item sd="0" x="226"/>
        <item sd="0" x="227"/>
        <item sd="0" x="228"/>
        <item sd="0" x="229"/>
        <item sd="0" x="230"/>
        <item sd="0" x="231"/>
        <item sd="0" x="232"/>
        <item sd="0" x="233"/>
        <item sd="0" x="234"/>
        <item sd="0" x="235"/>
        <item sd="0" x="236"/>
        <item sd="0" x="237"/>
        <item sd="0" x="238"/>
        <item sd="0" x="239"/>
        <item sd="0" x="240"/>
        <item sd="0" x="241"/>
        <item sd="0" x="242"/>
        <item sd="0" x="243"/>
        <item sd="0" x="244"/>
        <item sd="0" x="245"/>
        <item sd="0" x="246"/>
        <item sd="0" x="247"/>
        <item sd="0" x="248"/>
        <item sd="0" x="249"/>
        <item sd="0" x="250"/>
        <item sd="0" x="251"/>
        <item sd="0" x="252"/>
        <item sd="0" x="253"/>
        <item sd="0" x="254"/>
        <item sd="0" x="255"/>
        <item sd="0" x="256"/>
        <item sd="0" x="257"/>
        <item sd="0" x="258"/>
        <item sd="0" x="259"/>
        <item sd="0" x="260"/>
        <item sd="0" x="261"/>
        <item sd="0" x="262"/>
        <item sd="0" x="263"/>
        <item sd="0" x="264"/>
        <item sd="0" x="265"/>
        <item sd="0" x="266"/>
        <item sd="0" x="267"/>
        <item sd="0" x="268"/>
        <item sd="0" x="269"/>
        <item sd="0" x="270"/>
        <item sd="0" x="271"/>
        <item sd="0" x="272"/>
        <item sd="0" x="273"/>
        <item sd="0" x="274"/>
        <item sd="0" x="275"/>
        <item sd="0" x="276"/>
        <item sd="0" x="277"/>
        <item sd="0" x="278"/>
        <item sd="0" x="279"/>
        <item sd="0" x="280"/>
        <item sd="0" x="281"/>
        <item sd="0" x="282"/>
        <item sd="0" x="283"/>
        <item sd="0" x="284"/>
        <item sd="0" x="285"/>
        <item sd="0" x="286"/>
        <item sd="0" x="287"/>
        <item sd="0" x="288"/>
        <item sd="0" x="289"/>
        <item sd="0" x="290"/>
        <item sd="0" x="291"/>
        <item sd="0" x="292"/>
        <item sd="0" x="293"/>
        <item sd="0" x="294"/>
        <item sd="0" x="295"/>
        <item sd="0" x="296"/>
        <item sd="0" x="297"/>
        <item sd="0" x="298"/>
        <item sd="0" x="299"/>
        <item sd="0" x="300"/>
        <item sd="0" x="301"/>
        <item sd="0" x="302"/>
        <item sd="0" x="303"/>
        <item sd="0" x="304"/>
        <item sd="0" x="305"/>
        <item sd="0" x="306"/>
        <item sd="0" x="307"/>
        <item sd="0" x="308"/>
        <item sd="0" x="309"/>
        <item sd="0" x="310"/>
        <item sd="0" x="311"/>
        <item sd="0" x="312"/>
        <item sd="0" x="313"/>
        <item sd="0" x="314"/>
        <item sd="0" x="315"/>
        <item sd="0" x="316"/>
        <item sd="0" x="317"/>
        <item sd="0" x="318"/>
        <item sd="0" x="319"/>
        <item sd="0" x="320"/>
        <item sd="0" x="321"/>
        <item sd="0" x="322"/>
        <item sd="0" x="323"/>
        <item sd="0" x="324"/>
        <item sd="0" x="325"/>
        <item sd="0" x="326"/>
        <item sd="0" x="327"/>
        <item sd="0" x="328"/>
        <item sd="0" x="329"/>
        <item sd="0" x="330"/>
        <item sd="0" x="331"/>
        <item sd="0" x="332"/>
        <item sd="0" x="333"/>
        <item sd="0" x="334"/>
        <item sd="0" x="335"/>
        <item sd="0" x="336"/>
        <item sd="0" x="337"/>
        <item sd="0" x="338"/>
        <item sd="0" x="339"/>
        <item sd="0" x="340"/>
        <item sd="0" x="341"/>
        <item sd="0" x="342"/>
        <item sd="0" x="343"/>
        <item sd="0" x="344"/>
        <item sd="0" x="345"/>
        <item sd="0" x="346"/>
        <item sd="0" x="347"/>
        <item sd="0" x="348"/>
        <item sd="0" x="349"/>
        <item sd="0" x="350"/>
        <item sd="0" x="351"/>
        <item sd="0" x="352"/>
        <item sd="0" x="353"/>
        <item sd="0" x="354"/>
        <item sd="0" x="355"/>
        <item sd="0" x="356"/>
        <item sd="0" x="357"/>
        <item sd="0" x="358"/>
        <item sd="0" x="359"/>
        <item sd="0" x="360"/>
        <item sd="0" x="361"/>
        <item sd="0" x="362"/>
        <item sd="0" x="363"/>
        <item sd="0" x="364"/>
        <item sd="0" x="365"/>
        <item sd="0" x="366"/>
        <item sd="0" x="367"/>
        <item t="default"/>
      </items>
    </pivotField>
    <pivotField axis="axisRow"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</pivotFields>
  <rowFields count="3">
    <field x="9"/>
    <field x="8"/>
    <field x="0"/>
  </rowFields>
  <rowItems count="13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 t="grand">
      <x/>
    </i>
  </rowItems>
  <colItems count="1">
    <i/>
  </colItems>
  <dataFields count="1">
    <dataField name="Sum of Total Revenue" fld="7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74F8FFB-7312-4F7A-8874-445CF9482A2C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5">
  <location ref="A1:B6" firstHeaderRow="1" firstDataRow="1" firstDataCol="1"/>
  <pivotFields count="10">
    <pivotField numFmtId="164" showAll="0">
      <items count="146">
        <item x="114"/>
        <item x="7"/>
        <item x="82"/>
        <item x="28"/>
        <item x="96"/>
        <item x="131"/>
        <item x="107"/>
        <item x="0"/>
        <item x="81"/>
        <item x="12"/>
        <item x="14"/>
        <item x="42"/>
        <item x="23"/>
        <item x="1"/>
        <item x="94"/>
        <item x="142"/>
        <item x="34"/>
        <item x="5"/>
        <item x="46"/>
        <item x="39"/>
        <item x="36"/>
        <item x="24"/>
        <item x="139"/>
        <item x="105"/>
        <item x="83"/>
        <item x="122"/>
        <item x="54"/>
        <item x="4"/>
        <item x="127"/>
        <item x="86"/>
        <item x="64"/>
        <item x="85"/>
        <item x="134"/>
        <item x="58"/>
        <item x="130"/>
        <item x="21"/>
        <item x="138"/>
        <item x="136"/>
        <item x="27"/>
        <item x="143"/>
        <item x="133"/>
        <item x="141"/>
        <item x="129"/>
        <item x="73"/>
        <item x="77"/>
        <item x="66"/>
        <item x="84"/>
        <item x="119"/>
        <item x="20"/>
        <item x="18"/>
        <item x="59"/>
        <item x="31"/>
        <item x="113"/>
        <item x="65"/>
        <item x="45"/>
        <item x="106"/>
        <item x="124"/>
        <item x="132"/>
        <item x="30"/>
        <item x="135"/>
        <item x="37"/>
        <item x="11"/>
        <item x="104"/>
        <item x="43"/>
        <item x="69"/>
        <item x="90"/>
        <item x="110"/>
        <item x="61"/>
        <item x="25"/>
        <item x="112"/>
        <item x="57"/>
        <item x="15"/>
        <item x="10"/>
        <item x="38"/>
        <item x="52"/>
        <item x="29"/>
        <item x="53"/>
        <item x="8"/>
        <item x="41"/>
        <item x="55"/>
        <item x="60"/>
        <item x="13"/>
        <item x="117"/>
        <item x="63"/>
        <item x="75"/>
        <item x="6"/>
        <item x="33"/>
        <item x="123"/>
        <item x="95"/>
        <item x="26"/>
        <item x="121"/>
        <item x="88"/>
        <item x="140"/>
        <item x="78"/>
        <item x="108"/>
        <item x="76"/>
        <item x="125"/>
        <item x="49"/>
        <item x="44"/>
        <item x="93"/>
        <item x="89"/>
        <item x="56"/>
        <item x="91"/>
        <item x="72"/>
        <item x="51"/>
        <item x="118"/>
        <item x="79"/>
        <item x="68"/>
        <item x="40"/>
        <item x="70"/>
        <item x="100"/>
        <item x="22"/>
        <item x="115"/>
        <item x="3"/>
        <item x="80"/>
        <item x="111"/>
        <item x="35"/>
        <item x="2"/>
        <item x="126"/>
        <item x="50"/>
        <item x="74"/>
        <item x="71"/>
        <item x="17"/>
        <item x="32"/>
        <item x="144"/>
        <item x="109"/>
        <item x="116"/>
        <item x="137"/>
        <item x="120"/>
        <item x="103"/>
        <item x="67"/>
        <item x="98"/>
        <item x="19"/>
        <item x="92"/>
        <item x="62"/>
        <item x="9"/>
        <item x="16"/>
        <item x="128"/>
        <item x="101"/>
        <item x="102"/>
        <item x="97"/>
        <item x="87"/>
        <item x="99"/>
        <item x="47"/>
        <item x="48"/>
        <item t="default"/>
      </items>
    </pivotField>
    <pivotField showAll="0"/>
    <pivotField axis="axisRow" showAll="0">
      <items count="5">
        <item x="3"/>
        <item x="1"/>
        <item x="2"/>
        <item x="0"/>
        <item t="default"/>
      </items>
    </pivotField>
    <pivotField showAll="0"/>
    <pivotField showAll="0"/>
    <pivotField showAll="0"/>
    <pivotField showAll="0"/>
    <pivotField dataField="1" showAll="0"/>
    <pivotField showAll="0" defaultSubtotal="0"/>
    <pivotField showAll="0" defaultSubtotal="0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</items>
    </pivotField>
  </pivotFields>
  <rowFields count="1">
    <field x="2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Total Revenue" fld="7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29F09C9-DB2B-46AB-A6F3-2C218A62B026}" name="Table1" displayName="Table1" ref="A1:H201" totalsRowShown="0" headerRowDxfId="4" headerRowBorderDxfId="3" tableBorderDxfId="2">
  <autoFilter ref="A1:H201" xr:uid="{229F09C9-DB2B-46AB-A6F3-2C218A62B026}"/>
  <sortState xmlns:xlrd2="http://schemas.microsoft.com/office/spreadsheetml/2017/richdata2" ref="A2:H201">
    <sortCondition descending="1" ref="H1:H201"/>
  </sortState>
  <tableColumns count="8">
    <tableColumn id="1" xr3:uid="{4BA28052-6B32-4C95-BF52-FC2224FA4F98}" name="Invoice Date" dataDxfId="1"/>
    <tableColumn id="2" xr3:uid="{330E1C4F-513E-4C77-8AC8-2E9DE3B5767C}" name="Store Location"/>
    <tableColumn id="3" xr3:uid="{AFE48436-7114-4DDB-860A-784EC1693AD0}" name="Product Category"/>
    <tableColumn id="4" xr3:uid="{710FDB14-3EA0-4102-A8C6-47BC8BEAD09C}" name="Product Name"/>
    <tableColumn id="5" xr3:uid="{6083F65E-B94C-4800-B496-55BE593489BE}" name="Quantity Sold"/>
    <tableColumn id="6" xr3:uid="{7965F758-6A33-466D-BB2C-74CBB05C5582}" name="Unit Price"/>
    <tableColumn id="7" xr3:uid="{03CB0AF8-2704-4F7E-A0B9-BC45F040A4E1}" name="Salesperson"/>
    <tableColumn id="8" xr3:uid="{259D17EC-CCA5-4182-BC27-17295DFFC652}" name="Total Revenue" dataDxfId="0">
      <calculatedColumnFormula>Table1[[#This Row],[Quantity Sold]]*Table1[[#This Row],[Unit Price]]</calculatedColumnFormula>
    </tableColumn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037E0D-7C42-4BC7-800B-E673A7E75E0F}">
  <dimension ref="A1:B14"/>
  <sheetViews>
    <sheetView topLeftCell="A4" zoomScale="70" zoomScaleNormal="70" workbookViewId="0">
      <selection activeCell="G37" sqref="G37"/>
    </sheetView>
  </sheetViews>
  <sheetFormatPr defaultRowHeight="14.5" x14ac:dyDescent="0.35"/>
  <cols>
    <col min="1" max="1" width="12.36328125" bestFit="1" customWidth="1"/>
    <col min="2" max="2" width="19.1796875" bestFit="1" customWidth="1"/>
  </cols>
  <sheetData>
    <row r="1" spans="1:2" x14ac:dyDescent="0.35">
      <c r="A1" s="7" t="s">
        <v>48</v>
      </c>
      <c r="B1" t="s">
        <v>62</v>
      </c>
    </row>
    <row r="2" spans="1:2" x14ac:dyDescent="0.35">
      <c r="A2" s="8" t="s">
        <v>50</v>
      </c>
      <c r="B2" s="9">
        <v>337338</v>
      </c>
    </row>
    <row r="3" spans="1:2" x14ac:dyDescent="0.35">
      <c r="A3" s="8" t="s">
        <v>51</v>
      </c>
      <c r="B3" s="9">
        <v>223963</v>
      </c>
    </row>
    <row r="4" spans="1:2" x14ac:dyDescent="0.35">
      <c r="A4" s="8" t="s">
        <v>52</v>
      </c>
      <c r="B4" s="9">
        <v>94750</v>
      </c>
    </row>
    <row r="5" spans="1:2" x14ac:dyDescent="0.35">
      <c r="A5" s="8" t="s">
        <v>53</v>
      </c>
      <c r="B5" s="9">
        <v>111881</v>
      </c>
    </row>
    <row r="6" spans="1:2" x14ac:dyDescent="0.35">
      <c r="A6" s="8" t="s">
        <v>54</v>
      </c>
      <c r="B6" s="9">
        <v>308711</v>
      </c>
    </row>
    <row r="7" spans="1:2" x14ac:dyDescent="0.35">
      <c r="A7" s="8" t="s">
        <v>55</v>
      </c>
      <c r="B7" s="9">
        <v>209833</v>
      </c>
    </row>
    <row r="8" spans="1:2" x14ac:dyDescent="0.35">
      <c r="A8" s="8" t="s">
        <v>56</v>
      </c>
      <c r="B8" s="9">
        <v>225465</v>
      </c>
    </row>
    <row r="9" spans="1:2" x14ac:dyDescent="0.35">
      <c r="A9" s="8" t="s">
        <v>57</v>
      </c>
      <c r="B9" s="9">
        <v>283735</v>
      </c>
    </row>
    <row r="10" spans="1:2" x14ac:dyDescent="0.35">
      <c r="A10" s="8" t="s">
        <v>58</v>
      </c>
      <c r="B10" s="9">
        <v>176083</v>
      </c>
    </row>
    <row r="11" spans="1:2" x14ac:dyDescent="0.35">
      <c r="A11" s="8" t="s">
        <v>59</v>
      </c>
      <c r="B11" s="9">
        <v>254386</v>
      </c>
    </row>
    <row r="12" spans="1:2" x14ac:dyDescent="0.35">
      <c r="A12" s="8" t="s">
        <v>60</v>
      </c>
      <c r="B12" s="9">
        <v>182515</v>
      </c>
    </row>
    <row r="13" spans="1:2" x14ac:dyDescent="0.35">
      <c r="A13" s="8" t="s">
        <v>61</v>
      </c>
      <c r="B13" s="9">
        <v>205097</v>
      </c>
    </row>
    <row r="14" spans="1:2" x14ac:dyDescent="0.35">
      <c r="A14" s="8" t="s">
        <v>49</v>
      </c>
      <c r="B14" s="9">
        <v>2613757</v>
      </c>
    </row>
  </sheetData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308604-35DD-40D2-9955-95718DDA9219}">
  <dimension ref="A1:C6"/>
  <sheetViews>
    <sheetView zoomScale="65" zoomScaleNormal="65" workbookViewId="0">
      <selection activeCell="D14" sqref="D14"/>
    </sheetView>
  </sheetViews>
  <sheetFormatPr defaultRowHeight="14.5" x14ac:dyDescent="0.35"/>
  <cols>
    <col min="1" max="1" width="15.36328125" bestFit="1" customWidth="1"/>
    <col min="2" max="2" width="19.1796875" bestFit="1" customWidth="1"/>
  </cols>
  <sheetData>
    <row r="1" spans="1:3" x14ac:dyDescent="0.35">
      <c r="A1" s="7" t="s">
        <v>48</v>
      </c>
      <c r="B1" t="s">
        <v>62</v>
      </c>
      <c r="C1" t="s">
        <v>65</v>
      </c>
    </row>
    <row r="2" spans="1:3" x14ac:dyDescent="0.35">
      <c r="A2" s="8" t="s">
        <v>12</v>
      </c>
      <c r="B2" s="9">
        <v>645452</v>
      </c>
      <c r="C2">
        <f>GETPIVOTDATA("Total Revenue",$A$1,"Product Category","Clothing")/GETPIVOTDATA("Total Revenue",$A$1)*100</f>
        <v>24.694414974307101</v>
      </c>
    </row>
    <row r="3" spans="1:3" x14ac:dyDescent="0.35">
      <c r="A3" s="8" t="s">
        <v>13</v>
      </c>
      <c r="B3" s="9">
        <v>711312</v>
      </c>
      <c r="C3">
        <f>GETPIVOTDATA("Total Revenue",$A$1,"Product Category","Electronics")/GETPIVOTDATA("Total Revenue",$A$1)*100</f>
        <v>27.214159541227435</v>
      </c>
    </row>
    <row r="4" spans="1:3" x14ac:dyDescent="0.35">
      <c r="A4" s="8" t="s">
        <v>11</v>
      </c>
      <c r="B4" s="9">
        <v>648105</v>
      </c>
      <c r="C4">
        <f>GETPIVOTDATA("Total Revenue",$A$1,"Product Category","Groceries")/GETPIVOTDATA("Total Revenue",$A$1)*100</f>
        <v>24.795916376311951</v>
      </c>
    </row>
    <row r="5" spans="1:3" x14ac:dyDescent="0.35">
      <c r="A5" s="8" t="s">
        <v>14</v>
      </c>
      <c r="B5" s="9">
        <v>608888</v>
      </c>
      <c r="C5">
        <f>GETPIVOTDATA("Total Revenue",$A$1,"Product Category","Home Appliances")/GETPIVOTDATA("Total Revenue",$A$1)*100</f>
        <v>23.29550910815351</v>
      </c>
    </row>
    <row r="6" spans="1:3" x14ac:dyDescent="0.35">
      <c r="A6" s="8" t="s">
        <v>49</v>
      </c>
      <c r="B6" s="9">
        <v>2613757</v>
      </c>
    </row>
  </sheetData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01"/>
  <sheetViews>
    <sheetView tabSelected="1" topLeftCell="D32" zoomScale="128" zoomScaleNormal="100" workbookViewId="0">
      <selection activeCell="M36" sqref="M36"/>
    </sheetView>
  </sheetViews>
  <sheetFormatPr defaultRowHeight="14.5" x14ac:dyDescent="0.35"/>
  <cols>
    <col min="1" max="1" width="21.36328125" bestFit="1" customWidth="1"/>
    <col min="2" max="2" width="14.81640625" customWidth="1"/>
    <col min="3" max="3" width="17.36328125" customWidth="1"/>
    <col min="4" max="4" width="14.81640625" customWidth="1"/>
    <col min="5" max="5" width="14.1796875" customWidth="1"/>
    <col min="6" max="6" width="10.90625" customWidth="1"/>
    <col min="7" max="7" width="12.81640625" customWidth="1"/>
    <col min="8" max="8" width="10.81640625" customWidth="1"/>
  </cols>
  <sheetData>
    <row r="1" spans="1:11" x14ac:dyDescent="0.3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37</v>
      </c>
    </row>
    <row r="2" spans="1:11" x14ac:dyDescent="0.35">
      <c r="A2" s="1">
        <v>45305</v>
      </c>
      <c r="B2" t="s">
        <v>9</v>
      </c>
      <c r="C2" t="s">
        <v>14</v>
      </c>
      <c r="D2" t="s">
        <v>30</v>
      </c>
      <c r="E2">
        <v>8</v>
      </c>
      <c r="F2">
        <v>4921</v>
      </c>
      <c r="G2" t="s">
        <v>33</v>
      </c>
      <c r="H2">
        <f>Table1[[#This Row],[Quantity Sold]]*Table1[[#This Row],[Unit Price]]</f>
        <v>39368</v>
      </c>
    </row>
    <row r="3" spans="1:11" x14ac:dyDescent="0.35">
      <c r="A3" s="1">
        <v>45320</v>
      </c>
      <c r="B3" t="s">
        <v>9</v>
      </c>
      <c r="C3" t="s">
        <v>13</v>
      </c>
      <c r="D3" t="s">
        <v>24</v>
      </c>
      <c r="E3">
        <v>9</v>
      </c>
      <c r="F3">
        <v>4246</v>
      </c>
      <c r="G3" t="s">
        <v>34</v>
      </c>
      <c r="H3">
        <f>Table1[[#This Row],[Quantity Sold]]*Table1[[#This Row],[Unit Price]]</f>
        <v>38214</v>
      </c>
    </row>
    <row r="4" spans="1:11" x14ac:dyDescent="0.35">
      <c r="A4" s="1">
        <v>45589</v>
      </c>
      <c r="B4" t="s">
        <v>7</v>
      </c>
      <c r="C4" t="s">
        <v>14</v>
      </c>
      <c r="D4" t="s">
        <v>20</v>
      </c>
      <c r="E4">
        <v>9</v>
      </c>
      <c r="F4">
        <v>4161</v>
      </c>
      <c r="G4" t="s">
        <v>33</v>
      </c>
      <c r="H4">
        <f>Table1[[#This Row],[Quantity Sold]]*Table1[[#This Row],[Unit Price]]</f>
        <v>37449</v>
      </c>
    </row>
    <row r="5" spans="1:11" x14ac:dyDescent="0.35">
      <c r="A5" s="1">
        <v>45580</v>
      </c>
      <c r="B5" t="s">
        <v>7</v>
      </c>
      <c r="C5" t="s">
        <v>11</v>
      </c>
      <c r="D5" t="s">
        <v>19</v>
      </c>
      <c r="E5">
        <v>8</v>
      </c>
      <c r="F5">
        <v>4614</v>
      </c>
      <c r="G5" t="s">
        <v>35</v>
      </c>
      <c r="H5">
        <f>Table1[[#This Row],[Quantity Sold]]*Table1[[#This Row],[Unit Price]]</f>
        <v>36912</v>
      </c>
    </row>
    <row r="6" spans="1:11" x14ac:dyDescent="0.35">
      <c r="A6" s="1">
        <v>45354</v>
      </c>
      <c r="B6" t="s">
        <v>7</v>
      </c>
      <c r="C6" t="s">
        <v>12</v>
      </c>
      <c r="D6" t="s">
        <v>17</v>
      </c>
      <c r="E6">
        <v>8</v>
      </c>
      <c r="F6">
        <v>4480</v>
      </c>
      <c r="G6" t="s">
        <v>31</v>
      </c>
      <c r="H6">
        <f>Table1[[#This Row],[Quantity Sold]]*Table1[[#This Row],[Unit Price]]</f>
        <v>35840</v>
      </c>
      <c r="K6" t="s">
        <v>36</v>
      </c>
    </row>
    <row r="7" spans="1:11" x14ac:dyDescent="0.35">
      <c r="A7" s="1">
        <v>45327</v>
      </c>
      <c r="B7" t="s">
        <v>8</v>
      </c>
      <c r="C7" t="s">
        <v>11</v>
      </c>
      <c r="D7" t="s">
        <v>16</v>
      </c>
      <c r="E7">
        <v>8</v>
      </c>
      <c r="F7">
        <v>4424</v>
      </c>
      <c r="G7" t="s">
        <v>31</v>
      </c>
      <c r="H7">
        <f>Table1[[#This Row],[Quantity Sold]]*Table1[[#This Row],[Unit Price]]</f>
        <v>35392</v>
      </c>
      <c r="K7" t="s">
        <v>38</v>
      </c>
    </row>
    <row r="8" spans="1:11" x14ac:dyDescent="0.35">
      <c r="A8" s="1">
        <v>45517</v>
      </c>
      <c r="B8" t="s">
        <v>9</v>
      </c>
      <c r="C8" t="s">
        <v>11</v>
      </c>
      <c r="D8" t="s">
        <v>16</v>
      </c>
      <c r="E8">
        <v>7</v>
      </c>
      <c r="F8">
        <v>4959</v>
      </c>
      <c r="G8" t="s">
        <v>31</v>
      </c>
      <c r="H8">
        <f>Table1[[#This Row],[Quantity Sold]]*Table1[[#This Row],[Unit Price]]</f>
        <v>34713</v>
      </c>
    </row>
    <row r="9" spans="1:11" x14ac:dyDescent="0.35">
      <c r="A9" s="1">
        <v>45293</v>
      </c>
      <c r="B9" t="s">
        <v>10</v>
      </c>
      <c r="C9" t="s">
        <v>14</v>
      </c>
      <c r="D9" t="s">
        <v>28</v>
      </c>
      <c r="E9">
        <v>9</v>
      </c>
      <c r="F9">
        <v>3743</v>
      </c>
      <c r="G9" t="s">
        <v>33</v>
      </c>
      <c r="H9">
        <f>Table1[[#This Row],[Quantity Sold]]*Table1[[#This Row],[Unit Price]]</f>
        <v>33687</v>
      </c>
    </row>
    <row r="10" spans="1:11" x14ac:dyDescent="0.35">
      <c r="A10" s="1">
        <v>45503</v>
      </c>
      <c r="B10" t="s">
        <v>10</v>
      </c>
      <c r="C10" t="s">
        <v>12</v>
      </c>
      <c r="D10" t="s">
        <v>21</v>
      </c>
      <c r="E10">
        <v>9</v>
      </c>
      <c r="F10">
        <v>3696</v>
      </c>
      <c r="G10" t="s">
        <v>33</v>
      </c>
      <c r="H10">
        <f>Table1[[#This Row],[Quantity Sold]]*Table1[[#This Row],[Unit Price]]</f>
        <v>33264</v>
      </c>
      <c r="K10" t="s">
        <v>39</v>
      </c>
    </row>
    <row r="11" spans="1:11" x14ac:dyDescent="0.35">
      <c r="A11" s="1">
        <v>45633</v>
      </c>
      <c r="B11" t="s">
        <v>8</v>
      </c>
      <c r="C11" t="s">
        <v>12</v>
      </c>
      <c r="D11" t="s">
        <v>21</v>
      </c>
      <c r="E11">
        <v>9</v>
      </c>
      <c r="F11">
        <v>3677</v>
      </c>
      <c r="G11" t="s">
        <v>34</v>
      </c>
      <c r="H11">
        <f>Table1[[#This Row],[Quantity Sold]]*Table1[[#This Row],[Unit Price]]</f>
        <v>33093</v>
      </c>
      <c r="K11" t="s">
        <v>40</v>
      </c>
    </row>
    <row r="12" spans="1:11" x14ac:dyDescent="0.35">
      <c r="A12" s="1">
        <v>45488</v>
      </c>
      <c r="B12" t="s">
        <v>7</v>
      </c>
      <c r="C12" t="s">
        <v>13</v>
      </c>
      <c r="D12" t="s">
        <v>24</v>
      </c>
      <c r="E12">
        <v>7</v>
      </c>
      <c r="F12">
        <v>4713</v>
      </c>
      <c r="G12" t="s">
        <v>35</v>
      </c>
      <c r="H12">
        <f>Table1[[#This Row],[Quantity Sold]]*Table1[[#This Row],[Unit Price]]</f>
        <v>32991</v>
      </c>
      <c r="K12" s="3" t="s">
        <v>30</v>
      </c>
    </row>
    <row r="13" spans="1:11" x14ac:dyDescent="0.35">
      <c r="A13" s="1">
        <v>45451</v>
      </c>
      <c r="B13" t="s">
        <v>7</v>
      </c>
      <c r="C13" t="s">
        <v>14</v>
      </c>
      <c r="D13" t="s">
        <v>27</v>
      </c>
      <c r="E13">
        <v>7</v>
      </c>
      <c r="F13">
        <v>4692</v>
      </c>
      <c r="G13" t="s">
        <v>33</v>
      </c>
      <c r="H13">
        <f>Table1[[#This Row],[Quantity Sold]]*Table1[[#This Row],[Unit Price]]</f>
        <v>32844</v>
      </c>
      <c r="K13" s="4" t="s">
        <v>24</v>
      </c>
    </row>
    <row r="14" spans="1:11" x14ac:dyDescent="0.35">
      <c r="A14" s="1">
        <v>45311</v>
      </c>
      <c r="B14" t="s">
        <v>10</v>
      </c>
      <c r="C14" t="s">
        <v>11</v>
      </c>
      <c r="D14" t="s">
        <v>16</v>
      </c>
      <c r="E14">
        <v>7</v>
      </c>
      <c r="F14">
        <v>4591</v>
      </c>
      <c r="G14" t="s">
        <v>35</v>
      </c>
      <c r="H14">
        <f>Table1[[#This Row],[Quantity Sold]]*Table1[[#This Row],[Unit Price]]</f>
        <v>32137</v>
      </c>
      <c r="K14" s="3" t="s">
        <v>20</v>
      </c>
    </row>
    <row r="15" spans="1:11" x14ac:dyDescent="0.35">
      <c r="A15" s="1">
        <v>45511</v>
      </c>
      <c r="B15" t="s">
        <v>10</v>
      </c>
      <c r="C15" t="s">
        <v>13</v>
      </c>
      <c r="D15" t="s">
        <v>23</v>
      </c>
      <c r="E15">
        <v>9</v>
      </c>
      <c r="F15">
        <v>3456</v>
      </c>
      <c r="G15" t="s">
        <v>34</v>
      </c>
      <c r="H15">
        <f>Table1[[#This Row],[Quantity Sold]]*Table1[[#This Row],[Unit Price]]</f>
        <v>31104</v>
      </c>
      <c r="K15" s="4" t="s">
        <v>19</v>
      </c>
    </row>
    <row r="16" spans="1:11" x14ac:dyDescent="0.35">
      <c r="A16" s="1">
        <v>45312</v>
      </c>
      <c r="B16" t="s">
        <v>7</v>
      </c>
      <c r="C16" t="s">
        <v>11</v>
      </c>
      <c r="D16" t="s">
        <v>15</v>
      </c>
      <c r="E16">
        <v>8</v>
      </c>
      <c r="F16">
        <v>3872</v>
      </c>
      <c r="G16" t="s">
        <v>31</v>
      </c>
      <c r="H16">
        <f>Table1[[#This Row],[Quantity Sold]]*Table1[[#This Row],[Unit Price]]</f>
        <v>30976</v>
      </c>
      <c r="K16" s="3" t="s">
        <v>17</v>
      </c>
    </row>
    <row r="17" spans="1:13" x14ac:dyDescent="0.35">
      <c r="A17" s="1">
        <v>45481</v>
      </c>
      <c r="B17" t="s">
        <v>10</v>
      </c>
      <c r="C17" t="s">
        <v>11</v>
      </c>
      <c r="D17" t="s">
        <v>15</v>
      </c>
      <c r="E17">
        <v>9</v>
      </c>
      <c r="F17">
        <v>3402</v>
      </c>
      <c r="G17" t="s">
        <v>34</v>
      </c>
      <c r="H17">
        <f>Table1[[#This Row],[Quantity Sold]]*Table1[[#This Row],[Unit Price]]</f>
        <v>30618</v>
      </c>
    </row>
    <row r="18" spans="1:13" x14ac:dyDescent="0.35">
      <c r="A18" s="1">
        <v>45636</v>
      </c>
      <c r="B18" t="s">
        <v>10</v>
      </c>
      <c r="C18" t="s">
        <v>13</v>
      </c>
      <c r="D18" t="s">
        <v>18</v>
      </c>
      <c r="E18">
        <v>6</v>
      </c>
      <c r="F18">
        <v>4943</v>
      </c>
      <c r="G18" t="s">
        <v>32</v>
      </c>
      <c r="H18">
        <f>Table1[[#This Row],[Quantity Sold]]*Table1[[#This Row],[Unit Price]]</f>
        <v>29658</v>
      </c>
      <c r="K18" t="s">
        <v>41</v>
      </c>
    </row>
    <row r="19" spans="1:13" x14ac:dyDescent="0.35">
      <c r="A19" s="1">
        <v>45600</v>
      </c>
      <c r="B19" t="s">
        <v>8</v>
      </c>
      <c r="C19" t="s">
        <v>13</v>
      </c>
      <c r="D19" t="s">
        <v>18</v>
      </c>
      <c r="E19">
        <v>7</v>
      </c>
      <c r="F19">
        <v>4133</v>
      </c>
      <c r="G19" t="s">
        <v>32</v>
      </c>
      <c r="H19">
        <f>Table1[[#This Row],[Quantity Sold]]*Table1[[#This Row],[Unit Price]]</f>
        <v>28931</v>
      </c>
      <c r="K19" t="s">
        <v>42</v>
      </c>
    </row>
    <row r="20" spans="1:13" x14ac:dyDescent="0.35">
      <c r="A20" s="1">
        <v>45426</v>
      </c>
      <c r="B20" t="s">
        <v>10</v>
      </c>
      <c r="C20" t="s">
        <v>12</v>
      </c>
      <c r="D20" t="s">
        <v>25</v>
      </c>
      <c r="E20">
        <v>9</v>
      </c>
      <c r="F20">
        <v>3199</v>
      </c>
      <c r="G20" t="s">
        <v>33</v>
      </c>
      <c r="H20">
        <f>Table1[[#This Row],[Quantity Sold]]*Table1[[#This Row],[Unit Price]]</f>
        <v>28791</v>
      </c>
      <c r="K20" s="4" t="s">
        <v>9</v>
      </c>
      <c r="L20">
        <f>SUMIF(Table1[Store Location],K20,Table1[Total Revenue])</f>
        <v>560624</v>
      </c>
    </row>
    <row r="21" spans="1:13" x14ac:dyDescent="0.35">
      <c r="A21" s="1">
        <v>45621</v>
      </c>
      <c r="B21" t="s">
        <v>10</v>
      </c>
      <c r="C21" t="s">
        <v>13</v>
      </c>
      <c r="D21" t="s">
        <v>24</v>
      </c>
      <c r="E21">
        <v>8</v>
      </c>
      <c r="F21">
        <v>3572</v>
      </c>
      <c r="G21" t="s">
        <v>33</v>
      </c>
      <c r="H21">
        <f>Table1[[#This Row],[Quantity Sold]]*Table1[[#This Row],[Unit Price]]</f>
        <v>28576</v>
      </c>
      <c r="K21" s="3" t="s">
        <v>7</v>
      </c>
      <c r="L21">
        <f>SUMIF(Table1[Store Location],K21,Table1[Total Revenue])</f>
        <v>626294</v>
      </c>
    </row>
    <row r="22" spans="1:13" x14ac:dyDescent="0.35">
      <c r="A22" s="1">
        <v>45425</v>
      </c>
      <c r="B22" t="s">
        <v>8</v>
      </c>
      <c r="C22" t="s">
        <v>12</v>
      </c>
      <c r="D22" t="s">
        <v>22</v>
      </c>
      <c r="E22">
        <v>9</v>
      </c>
      <c r="F22">
        <v>3160</v>
      </c>
      <c r="G22" t="s">
        <v>33</v>
      </c>
      <c r="H22">
        <f>Table1[[#This Row],[Quantity Sold]]*Table1[[#This Row],[Unit Price]]</f>
        <v>28440</v>
      </c>
      <c r="K22" s="4" t="s">
        <v>8</v>
      </c>
      <c r="L22">
        <f>SUMIF(Table1[Store Location],K22,Table1[Total Revenue])</f>
        <v>587897</v>
      </c>
    </row>
    <row r="23" spans="1:13" x14ac:dyDescent="0.35">
      <c r="A23" s="1">
        <v>45391</v>
      </c>
      <c r="B23" t="s">
        <v>8</v>
      </c>
      <c r="C23" t="s">
        <v>11</v>
      </c>
      <c r="D23" t="s">
        <v>16</v>
      </c>
      <c r="E23">
        <v>8</v>
      </c>
      <c r="F23">
        <v>3544</v>
      </c>
      <c r="G23" t="s">
        <v>32</v>
      </c>
      <c r="H23">
        <f>Table1[[#This Row],[Quantity Sold]]*Table1[[#This Row],[Unit Price]]</f>
        <v>28352</v>
      </c>
      <c r="K23" s="4" t="s">
        <v>10</v>
      </c>
      <c r="L23">
        <f>SUMIF(Table1[Store Location],K23,Table1[Total Revenue])</f>
        <v>838942</v>
      </c>
    </row>
    <row r="24" spans="1:13" x14ac:dyDescent="0.35">
      <c r="A24" s="1">
        <v>45574</v>
      </c>
      <c r="B24" t="s">
        <v>9</v>
      </c>
      <c r="C24" t="s">
        <v>14</v>
      </c>
      <c r="D24" t="s">
        <v>28</v>
      </c>
      <c r="E24">
        <v>9</v>
      </c>
      <c r="F24">
        <v>3093</v>
      </c>
      <c r="G24" t="s">
        <v>31</v>
      </c>
      <c r="H24">
        <f>Table1[[#This Row],[Quantity Sold]]*Table1[[#This Row],[Unit Price]]</f>
        <v>27837</v>
      </c>
      <c r="K24" s="5" t="s">
        <v>43</v>
      </c>
      <c r="L24">
        <f>MAX(L20:L23)</f>
        <v>838942</v>
      </c>
      <c r="M24" t="s">
        <v>10</v>
      </c>
    </row>
    <row r="25" spans="1:13" x14ac:dyDescent="0.35">
      <c r="A25" s="1">
        <v>45318</v>
      </c>
      <c r="B25" t="s">
        <v>9</v>
      </c>
      <c r="C25" t="s">
        <v>11</v>
      </c>
      <c r="D25" t="s">
        <v>29</v>
      </c>
      <c r="E25">
        <v>8</v>
      </c>
      <c r="F25">
        <v>3454</v>
      </c>
      <c r="G25" t="s">
        <v>35</v>
      </c>
      <c r="H25">
        <f>Table1[[#This Row],[Quantity Sold]]*Table1[[#This Row],[Unit Price]]</f>
        <v>27632</v>
      </c>
    </row>
    <row r="26" spans="1:13" x14ac:dyDescent="0.35">
      <c r="A26" s="1">
        <v>45344</v>
      </c>
      <c r="B26" t="s">
        <v>7</v>
      </c>
      <c r="C26" t="s">
        <v>11</v>
      </c>
      <c r="D26" t="s">
        <v>15</v>
      </c>
      <c r="E26">
        <v>9</v>
      </c>
      <c r="F26">
        <v>3038</v>
      </c>
      <c r="G26" t="s">
        <v>34</v>
      </c>
      <c r="H26">
        <f>Table1[[#This Row],[Quantity Sold]]*Table1[[#This Row],[Unit Price]]</f>
        <v>27342</v>
      </c>
      <c r="K26" s="5" t="s">
        <v>44</v>
      </c>
    </row>
    <row r="27" spans="1:13" x14ac:dyDescent="0.35">
      <c r="A27" s="1">
        <v>45471</v>
      </c>
      <c r="B27" t="s">
        <v>10</v>
      </c>
      <c r="C27" t="s">
        <v>12</v>
      </c>
      <c r="D27" t="s">
        <v>21</v>
      </c>
      <c r="E27">
        <v>8</v>
      </c>
      <c r="F27">
        <v>3404</v>
      </c>
      <c r="G27" t="s">
        <v>34</v>
      </c>
      <c r="H27">
        <f>Table1[[#This Row],[Quantity Sold]]*Table1[[#This Row],[Unit Price]]</f>
        <v>27232</v>
      </c>
    </row>
    <row r="28" spans="1:13" x14ac:dyDescent="0.35">
      <c r="A28" s="1">
        <v>45524</v>
      </c>
      <c r="B28" t="s">
        <v>7</v>
      </c>
      <c r="C28" t="s">
        <v>13</v>
      </c>
      <c r="D28" t="s">
        <v>26</v>
      </c>
      <c r="E28">
        <v>9</v>
      </c>
      <c r="F28">
        <v>2775</v>
      </c>
      <c r="G28" t="s">
        <v>32</v>
      </c>
      <c r="H28">
        <f>Table1[[#This Row],[Quantity Sold]]*Table1[[#This Row],[Unit Price]]</f>
        <v>24975</v>
      </c>
    </row>
    <row r="29" spans="1:13" x14ac:dyDescent="0.35">
      <c r="A29" s="1">
        <v>45404</v>
      </c>
      <c r="B29" t="s">
        <v>10</v>
      </c>
      <c r="C29" t="s">
        <v>12</v>
      </c>
      <c r="D29" t="s">
        <v>21</v>
      </c>
      <c r="E29">
        <v>7</v>
      </c>
      <c r="F29">
        <v>3557</v>
      </c>
      <c r="G29" t="s">
        <v>34</v>
      </c>
      <c r="H29">
        <f>Table1[[#This Row],[Quantity Sold]]*Table1[[#This Row],[Unit Price]]</f>
        <v>24899</v>
      </c>
      <c r="K29" t="s">
        <v>45</v>
      </c>
    </row>
    <row r="30" spans="1:13" x14ac:dyDescent="0.35">
      <c r="A30" s="1">
        <v>45297</v>
      </c>
      <c r="B30" t="s">
        <v>8</v>
      </c>
      <c r="C30" t="s">
        <v>14</v>
      </c>
      <c r="D30" t="s">
        <v>30</v>
      </c>
      <c r="E30">
        <v>9</v>
      </c>
      <c r="F30">
        <v>2760</v>
      </c>
      <c r="G30" t="s">
        <v>31</v>
      </c>
      <c r="H30">
        <f>Table1[[#This Row],[Quantity Sold]]*Table1[[#This Row],[Unit Price]]</f>
        <v>24840</v>
      </c>
      <c r="K30" t="s">
        <v>46</v>
      </c>
    </row>
    <row r="31" spans="1:13" x14ac:dyDescent="0.35">
      <c r="A31" s="1">
        <v>45501</v>
      </c>
      <c r="B31" t="s">
        <v>10</v>
      </c>
      <c r="C31" t="s">
        <v>12</v>
      </c>
      <c r="D31" t="s">
        <v>25</v>
      </c>
      <c r="E31">
        <v>8</v>
      </c>
      <c r="F31">
        <v>3105</v>
      </c>
      <c r="G31" t="s">
        <v>34</v>
      </c>
      <c r="H31">
        <f>Table1[[#This Row],[Quantity Sold]]*Table1[[#This Row],[Unit Price]]</f>
        <v>24840</v>
      </c>
      <c r="K31" s="4" t="s">
        <v>34</v>
      </c>
      <c r="L31">
        <f>SUMIF(Table1[Salesperson],K31,Table1[Total Revenue])</f>
        <v>480525</v>
      </c>
    </row>
    <row r="32" spans="1:13" x14ac:dyDescent="0.35">
      <c r="A32" s="1">
        <v>45443</v>
      </c>
      <c r="B32" t="s">
        <v>7</v>
      </c>
      <c r="C32" t="s">
        <v>13</v>
      </c>
      <c r="D32" t="s">
        <v>23</v>
      </c>
      <c r="E32">
        <v>5</v>
      </c>
      <c r="F32">
        <v>4879</v>
      </c>
      <c r="G32" t="s">
        <v>32</v>
      </c>
      <c r="H32">
        <f>Table1[[#This Row],[Quantity Sold]]*Table1[[#This Row],[Unit Price]]</f>
        <v>24395</v>
      </c>
      <c r="K32" s="3" t="s">
        <v>33</v>
      </c>
      <c r="L32">
        <f>SUMIF(Table1[Salesperson],K32,Table1[Total Revenue])</f>
        <v>551516</v>
      </c>
    </row>
    <row r="33" spans="1:13" x14ac:dyDescent="0.35">
      <c r="A33" s="1">
        <v>45428</v>
      </c>
      <c r="B33" t="s">
        <v>7</v>
      </c>
      <c r="C33" t="s">
        <v>12</v>
      </c>
      <c r="D33" t="s">
        <v>25</v>
      </c>
      <c r="E33">
        <v>8</v>
      </c>
      <c r="F33">
        <v>2970</v>
      </c>
      <c r="G33" t="s">
        <v>32</v>
      </c>
      <c r="H33">
        <f>Table1[[#This Row],[Quantity Sold]]*Table1[[#This Row],[Unit Price]]</f>
        <v>23760</v>
      </c>
      <c r="K33" s="4" t="s">
        <v>32</v>
      </c>
      <c r="L33">
        <f>SUMIF(Table1[Salesperson],K33,Table1[Total Revenue])</f>
        <v>510012</v>
      </c>
    </row>
    <row r="34" spans="1:13" x14ac:dyDescent="0.35">
      <c r="A34" s="1">
        <v>45391</v>
      </c>
      <c r="B34" t="s">
        <v>10</v>
      </c>
      <c r="C34" t="s">
        <v>12</v>
      </c>
      <c r="D34" t="s">
        <v>21</v>
      </c>
      <c r="E34">
        <v>5</v>
      </c>
      <c r="F34">
        <v>4746</v>
      </c>
      <c r="G34" t="s">
        <v>35</v>
      </c>
      <c r="H34">
        <f>Table1[[#This Row],[Quantity Sold]]*Table1[[#This Row],[Unit Price]]</f>
        <v>23730</v>
      </c>
      <c r="K34" s="3" t="s">
        <v>31</v>
      </c>
      <c r="L34">
        <f>SUMIF(Table1[Salesperson],K34,Table1[Total Revenue])</f>
        <v>520995</v>
      </c>
    </row>
    <row r="35" spans="1:13" x14ac:dyDescent="0.35">
      <c r="A35" s="1">
        <v>45601</v>
      </c>
      <c r="B35" t="s">
        <v>10</v>
      </c>
      <c r="C35" t="s">
        <v>12</v>
      </c>
      <c r="D35" t="s">
        <v>22</v>
      </c>
      <c r="E35">
        <v>6</v>
      </c>
      <c r="F35">
        <v>3943</v>
      </c>
      <c r="G35" t="s">
        <v>31</v>
      </c>
      <c r="H35">
        <f>Table1[[#This Row],[Quantity Sold]]*Table1[[#This Row],[Unit Price]]</f>
        <v>23658</v>
      </c>
      <c r="K35" s="4" t="s">
        <v>35</v>
      </c>
      <c r="L35">
        <f>SUMIF(Table1[Salesperson],K35,Table1[Total Revenue])</f>
        <v>550709</v>
      </c>
    </row>
    <row r="36" spans="1:13" x14ac:dyDescent="0.35">
      <c r="A36" s="1">
        <v>45520</v>
      </c>
      <c r="B36" t="s">
        <v>10</v>
      </c>
      <c r="C36" t="s">
        <v>13</v>
      </c>
      <c r="D36" t="s">
        <v>18</v>
      </c>
      <c r="E36">
        <v>7</v>
      </c>
      <c r="F36">
        <v>3378</v>
      </c>
      <c r="G36" t="s">
        <v>31</v>
      </c>
      <c r="H36">
        <f>Table1[[#This Row],[Quantity Sold]]*Table1[[#This Row],[Unit Price]]</f>
        <v>23646</v>
      </c>
      <c r="K36" s="6" t="s">
        <v>43</v>
      </c>
      <c r="L36">
        <f>MAX(L31:L35)</f>
        <v>551516</v>
      </c>
      <c r="M36" t="str">
        <f>INDEX(K31:K35, MATCH(MAX(L31:L35),L31:L35, 0))</f>
        <v>Divya</v>
      </c>
    </row>
    <row r="37" spans="1:13" x14ac:dyDescent="0.35">
      <c r="A37" s="1">
        <v>45326</v>
      </c>
      <c r="B37" t="s">
        <v>10</v>
      </c>
      <c r="C37" t="s">
        <v>11</v>
      </c>
      <c r="D37" t="s">
        <v>15</v>
      </c>
      <c r="E37">
        <v>8</v>
      </c>
      <c r="F37">
        <v>2873</v>
      </c>
      <c r="G37" t="s">
        <v>32</v>
      </c>
      <c r="H37">
        <f>Table1[[#This Row],[Quantity Sold]]*Table1[[#This Row],[Unit Price]]</f>
        <v>22984</v>
      </c>
    </row>
    <row r="38" spans="1:13" x14ac:dyDescent="0.35">
      <c r="A38" s="1">
        <v>45587</v>
      </c>
      <c r="B38" t="s">
        <v>8</v>
      </c>
      <c r="C38" t="s">
        <v>13</v>
      </c>
      <c r="D38" t="s">
        <v>18</v>
      </c>
      <c r="E38">
        <v>9</v>
      </c>
      <c r="F38">
        <v>2549</v>
      </c>
      <c r="G38" t="s">
        <v>32</v>
      </c>
      <c r="H38">
        <f>Table1[[#This Row],[Quantity Sold]]*Table1[[#This Row],[Unit Price]]</f>
        <v>22941</v>
      </c>
      <c r="K38" s="5" t="s">
        <v>44</v>
      </c>
    </row>
    <row r="39" spans="1:13" x14ac:dyDescent="0.35">
      <c r="A39" s="1">
        <v>45342</v>
      </c>
      <c r="B39" t="s">
        <v>10</v>
      </c>
      <c r="C39" t="s">
        <v>14</v>
      </c>
      <c r="D39" t="s">
        <v>30</v>
      </c>
      <c r="E39">
        <v>7</v>
      </c>
      <c r="F39">
        <v>3277</v>
      </c>
      <c r="G39" t="s">
        <v>35</v>
      </c>
      <c r="H39">
        <f>Table1[[#This Row],[Quantity Sold]]*Table1[[#This Row],[Unit Price]]</f>
        <v>22939</v>
      </c>
    </row>
    <row r="40" spans="1:13" x14ac:dyDescent="0.35">
      <c r="A40" s="1">
        <v>45445</v>
      </c>
      <c r="B40" t="s">
        <v>8</v>
      </c>
      <c r="C40" t="s">
        <v>12</v>
      </c>
      <c r="D40" t="s">
        <v>17</v>
      </c>
      <c r="E40">
        <v>7</v>
      </c>
      <c r="F40">
        <v>3247</v>
      </c>
      <c r="G40" t="s">
        <v>32</v>
      </c>
      <c r="H40">
        <f>Table1[[#This Row],[Quantity Sold]]*Table1[[#This Row],[Unit Price]]</f>
        <v>22729</v>
      </c>
    </row>
    <row r="41" spans="1:13" x14ac:dyDescent="0.35">
      <c r="A41" s="1">
        <v>45494</v>
      </c>
      <c r="B41" t="s">
        <v>8</v>
      </c>
      <c r="C41" t="s">
        <v>14</v>
      </c>
      <c r="D41" t="s">
        <v>28</v>
      </c>
      <c r="E41">
        <v>6</v>
      </c>
      <c r="F41">
        <v>3610</v>
      </c>
      <c r="G41" t="s">
        <v>32</v>
      </c>
      <c r="H41">
        <f>Table1[[#This Row],[Quantity Sold]]*Table1[[#This Row],[Unit Price]]</f>
        <v>21660</v>
      </c>
      <c r="K41" t="s">
        <v>47</v>
      </c>
    </row>
    <row r="42" spans="1:13" x14ac:dyDescent="0.35">
      <c r="A42" s="1">
        <v>45338</v>
      </c>
      <c r="B42" t="s">
        <v>10</v>
      </c>
      <c r="C42" t="s">
        <v>13</v>
      </c>
      <c r="D42" t="s">
        <v>23</v>
      </c>
      <c r="E42">
        <v>9</v>
      </c>
      <c r="F42">
        <v>2396</v>
      </c>
      <c r="G42" t="s">
        <v>32</v>
      </c>
      <c r="H42">
        <f>Table1[[#This Row],[Quantity Sold]]*Table1[[#This Row],[Unit Price]]</f>
        <v>21564</v>
      </c>
    </row>
    <row r="43" spans="1:13" x14ac:dyDescent="0.35">
      <c r="A43" s="1">
        <v>45566</v>
      </c>
      <c r="B43" t="s">
        <v>10</v>
      </c>
      <c r="C43" t="s">
        <v>14</v>
      </c>
      <c r="D43" t="s">
        <v>27</v>
      </c>
      <c r="E43">
        <v>6</v>
      </c>
      <c r="F43">
        <v>3586</v>
      </c>
      <c r="G43" t="s">
        <v>33</v>
      </c>
      <c r="H43">
        <f>Table1[[#This Row],[Quantity Sold]]*Table1[[#This Row],[Unit Price]]</f>
        <v>21516</v>
      </c>
    </row>
    <row r="44" spans="1:13" x14ac:dyDescent="0.35">
      <c r="A44" s="1">
        <v>45504</v>
      </c>
      <c r="B44" t="s">
        <v>7</v>
      </c>
      <c r="C44" t="s">
        <v>14</v>
      </c>
      <c r="D44" t="s">
        <v>20</v>
      </c>
      <c r="E44">
        <v>5</v>
      </c>
      <c r="F44">
        <v>4275</v>
      </c>
      <c r="G44" t="s">
        <v>33</v>
      </c>
      <c r="H44">
        <f>Table1[[#This Row],[Quantity Sold]]*Table1[[#This Row],[Unit Price]]</f>
        <v>21375</v>
      </c>
    </row>
    <row r="45" spans="1:13" x14ac:dyDescent="0.35">
      <c r="A45" s="1">
        <v>45313</v>
      </c>
      <c r="B45" t="s">
        <v>9</v>
      </c>
      <c r="C45" t="s">
        <v>11</v>
      </c>
      <c r="D45" t="s">
        <v>16</v>
      </c>
      <c r="E45">
        <v>6</v>
      </c>
      <c r="F45">
        <v>3546</v>
      </c>
      <c r="G45" t="s">
        <v>35</v>
      </c>
      <c r="H45">
        <f>Table1[[#This Row],[Quantity Sold]]*Table1[[#This Row],[Unit Price]]</f>
        <v>21276</v>
      </c>
    </row>
    <row r="46" spans="1:13" x14ac:dyDescent="0.35">
      <c r="A46" s="1">
        <v>45456</v>
      </c>
      <c r="B46" t="s">
        <v>9</v>
      </c>
      <c r="C46" t="s">
        <v>14</v>
      </c>
      <c r="D46" t="s">
        <v>27</v>
      </c>
      <c r="E46">
        <v>8</v>
      </c>
      <c r="F46">
        <v>2638</v>
      </c>
      <c r="G46" t="s">
        <v>35</v>
      </c>
      <c r="H46">
        <f>Table1[[#This Row],[Quantity Sold]]*Table1[[#This Row],[Unit Price]]</f>
        <v>21104</v>
      </c>
    </row>
    <row r="47" spans="1:13" x14ac:dyDescent="0.35">
      <c r="A47" s="1">
        <v>45545</v>
      </c>
      <c r="B47" t="s">
        <v>9</v>
      </c>
      <c r="C47" t="s">
        <v>14</v>
      </c>
      <c r="D47" t="s">
        <v>28</v>
      </c>
      <c r="E47">
        <v>5</v>
      </c>
      <c r="F47">
        <v>4206</v>
      </c>
      <c r="G47" t="s">
        <v>31</v>
      </c>
      <c r="H47">
        <f>Table1[[#This Row],[Quantity Sold]]*Table1[[#This Row],[Unit Price]]</f>
        <v>21030</v>
      </c>
    </row>
    <row r="48" spans="1:13" x14ac:dyDescent="0.35">
      <c r="A48" s="1">
        <v>45437</v>
      </c>
      <c r="B48" t="s">
        <v>7</v>
      </c>
      <c r="C48" t="s">
        <v>12</v>
      </c>
      <c r="D48" t="s">
        <v>25</v>
      </c>
      <c r="E48">
        <v>9</v>
      </c>
      <c r="F48">
        <v>2256</v>
      </c>
      <c r="G48" t="s">
        <v>33</v>
      </c>
      <c r="H48">
        <f>Table1[[#This Row],[Quantity Sold]]*Table1[[#This Row],[Unit Price]]</f>
        <v>20304</v>
      </c>
    </row>
    <row r="49" spans="1:11" x14ac:dyDescent="0.35">
      <c r="A49" s="1">
        <v>45334</v>
      </c>
      <c r="B49" t="s">
        <v>8</v>
      </c>
      <c r="C49" t="s">
        <v>11</v>
      </c>
      <c r="D49" t="s">
        <v>16</v>
      </c>
      <c r="E49">
        <v>5</v>
      </c>
      <c r="F49">
        <v>4013</v>
      </c>
      <c r="G49" t="s">
        <v>35</v>
      </c>
      <c r="H49">
        <f>Table1[[#This Row],[Quantity Sold]]*Table1[[#This Row],[Unit Price]]</f>
        <v>20065</v>
      </c>
    </row>
    <row r="50" spans="1:11" x14ac:dyDescent="0.35">
      <c r="A50" s="1">
        <v>45320</v>
      </c>
      <c r="B50" t="s">
        <v>10</v>
      </c>
      <c r="C50" t="s">
        <v>11</v>
      </c>
      <c r="D50" t="s">
        <v>19</v>
      </c>
      <c r="E50">
        <v>4</v>
      </c>
      <c r="F50">
        <v>4989</v>
      </c>
      <c r="G50" t="s">
        <v>32</v>
      </c>
      <c r="H50">
        <f>Table1[[#This Row],[Quantity Sold]]*Table1[[#This Row],[Unit Price]]</f>
        <v>19956</v>
      </c>
    </row>
    <row r="51" spans="1:11" x14ac:dyDescent="0.35">
      <c r="A51" s="1">
        <v>45651</v>
      </c>
      <c r="B51" t="s">
        <v>10</v>
      </c>
      <c r="C51" t="s">
        <v>13</v>
      </c>
      <c r="D51" t="s">
        <v>18</v>
      </c>
      <c r="E51">
        <v>8</v>
      </c>
      <c r="F51">
        <v>2485</v>
      </c>
      <c r="G51" t="s">
        <v>32</v>
      </c>
      <c r="H51">
        <f>Table1[[#This Row],[Quantity Sold]]*Table1[[#This Row],[Unit Price]]</f>
        <v>19880</v>
      </c>
    </row>
    <row r="52" spans="1:11" x14ac:dyDescent="0.35">
      <c r="A52" s="1">
        <v>45656</v>
      </c>
      <c r="B52" t="s">
        <v>8</v>
      </c>
      <c r="C52" t="s">
        <v>13</v>
      </c>
      <c r="D52" t="s">
        <v>26</v>
      </c>
      <c r="E52">
        <v>4</v>
      </c>
      <c r="F52">
        <v>4969</v>
      </c>
      <c r="G52" t="s">
        <v>33</v>
      </c>
      <c r="H52">
        <f>Table1[[#This Row],[Quantity Sold]]*Table1[[#This Row],[Unit Price]]</f>
        <v>19876</v>
      </c>
    </row>
    <row r="53" spans="1:11" x14ac:dyDescent="0.35">
      <c r="A53" s="1">
        <v>45656</v>
      </c>
      <c r="B53" t="s">
        <v>9</v>
      </c>
      <c r="C53" t="s">
        <v>14</v>
      </c>
      <c r="D53" t="s">
        <v>28</v>
      </c>
      <c r="E53">
        <v>8</v>
      </c>
      <c r="F53">
        <v>2462</v>
      </c>
      <c r="G53" t="s">
        <v>35</v>
      </c>
      <c r="H53">
        <f>Table1[[#This Row],[Quantity Sold]]*Table1[[#This Row],[Unit Price]]</f>
        <v>19696</v>
      </c>
    </row>
    <row r="54" spans="1:11" x14ac:dyDescent="0.35">
      <c r="A54" s="1">
        <v>45537</v>
      </c>
      <c r="B54" t="s">
        <v>9</v>
      </c>
      <c r="C54" t="s">
        <v>12</v>
      </c>
      <c r="D54" t="s">
        <v>22</v>
      </c>
      <c r="E54">
        <v>7</v>
      </c>
      <c r="F54">
        <v>2811</v>
      </c>
      <c r="G54" t="s">
        <v>35</v>
      </c>
      <c r="H54">
        <f>Table1[[#This Row],[Quantity Sold]]*Table1[[#This Row],[Unit Price]]</f>
        <v>19677</v>
      </c>
    </row>
    <row r="55" spans="1:11" x14ac:dyDescent="0.35">
      <c r="A55" s="1">
        <v>45311</v>
      </c>
      <c r="B55" t="s">
        <v>10</v>
      </c>
      <c r="C55" t="s">
        <v>11</v>
      </c>
      <c r="D55" t="s">
        <v>19</v>
      </c>
      <c r="E55">
        <v>4</v>
      </c>
      <c r="F55">
        <v>4880</v>
      </c>
      <c r="G55" t="s">
        <v>33</v>
      </c>
      <c r="H55">
        <f>Table1[[#This Row],[Quantity Sold]]*Table1[[#This Row],[Unit Price]]</f>
        <v>19520</v>
      </c>
    </row>
    <row r="56" spans="1:11" x14ac:dyDescent="0.35">
      <c r="A56" s="1">
        <v>45592</v>
      </c>
      <c r="B56" t="s">
        <v>10</v>
      </c>
      <c r="C56" t="s">
        <v>13</v>
      </c>
      <c r="D56" t="s">
        <v>24</v>
      </c>
      <c r="E56">
        <v>9</v>
      </c>
      <c r="F56">
        <v>2162</v>
      </c>
      <c r="G56" t="s">
        <v>34</v>
      </c>
      <c r="H56">
        <f>Table1[[#This Row],[Quantity Sold]]*Table1[[#This Row],[Unit Price]]</f>
        <v>19458</v>
      </c>
      <c r="K56" t="s">
        <v>63</v>
      </c>
    </row>
    <row r="57" spans="1:11" x14ac:dyDescent="0.35">
      <c r="A57" s="1">
        <v>45456</v>
      </c>
      <c r="B57" t="s">
        <v>9</v>
      </c>
      <c r="C57" t="s">
        <v>12</v>
      </c>
      <c r="D57" t="s">
        <v>25</v>
      </c>
      <c r="E57">
        <v>5</v>
      </c>
      <c r="F57">
        <v>3736</v>
      </c>
      <c r="G57" t="s">
        <v>31</v>
      </c>
      <c r="H57">
        <f>Table1[[#This Row],[Quantity Sold]]*Table1[[#This Row],[Unit Price]]</f>
        <v>18680</v>
      </c>
    </row>
    <row r="58" spans="1:11" x14ac:dyDescent="0.35">
      <c r="A58" s="1">
        <v>45555</v>
      </c>
      <c r="B58" t="s">
        <v>7</v>
      </c>
      <c r="C58" t="s">
        <v>12</v>
      </c>
      <c r="D58" t="s">
        <v>21</v>
      </c>
      <c r="E58">
        <v>7</v>
      </c>
      <c r="F58">
        <v>2656</v>
      </c>
      <c r="G58" t="s">
        <v>32</v>
      </c>
      <c r="H58">
        <f>Table1[[#This Row],[Quantity Sold]]*Table1[[#This Row],[Unit Price]]</f>
        <v>18592</v>
      </c>
    </row>
    <row r="59" spans="1:11" x14ac:dyDescent="0.35">
      <c r="A59" s="1">
        <v>45495</v>
      </c>
      <c r="B59" t="s">
        <v>8</v>
      </c>
      <c r="C59" t="s">
        <v>12</v>
      </c>
      <c r="D59" t="s">
        <v>22</v>
      </c>
      <c r="E59">
        <v>4</v>
      </c>
      <c r="F59">
        <v>4648</v>
      </c>
      <c r="G59" t="s">
        <v>31</v>
      </c>
      <c r="H59">
        <f>Table1[[#This Row],[Quantity Sold]]*Table1[[#This Row],[Unit Price]]</f>
        <v>18592</v>
      </c>
    </row>
    <row r="60" spans="1:11" x14ac:dyDescent="0.35">
      <c r="A60" s="1">
        <v>45502</v>
      </c>
      <c r="B60" t="s">
        <v>9</v>
      </c>
      <c r="C60" t="s">
        <v>11</v>
      </c>
      <c r="D60" t="s">
        <v>19</v>
      </c>
      <c r="E60">
        <v>7</v>
      </c>
      <c r="F60">
        <v>2582</v>
      </c>
      <c r="G60" t="s">
        <v>35</v>
      </c>
      <c r="H60">
        <f>Table1[[#This Row],[Quantity Sold]]*Table1[[#This Row],[Unit Price]]</f>
        <v>18074</v>
      </c>
      <c r="K60" t="s">
        <v>64</v>
      </c>
    </row>
    <row r="61" spans="1:11" x14ac:dyDescent="0.35">
      <c r="A61" s="1">
        <v>45600</v>
      </c>
      <c r="B61" t="s">
        <v>10</v>
      </c>
      <c r="C61" t="s">
        <v>14</v>
      </c>
      <c r="D61" t="s">
        <v>30</v>
      </c>
      <c r="E61">
        <v>5</v>
      </c>
      <c r="F61">
        <v>3602</v>
      </c>
      <c r="G61" t="s">
        <v>31</v>
      </c>
      <c r="H61">
        <f>Table1[[#This Row],[Quantity Sold]]*Table1[[#This Row],[Unit Price]]</f>
        <v>18010</v>
      </c>
    </row>
    <row r="62" spans="1:11" x14ac:dyDescent="0.35">
      <c r="A62" s="1">
        <v>45353</v>
      </c>
      <c r="B62" t="s">
        <v>8</v>
      </c>
      <c r="C62" t="s">
        <v>12</v>
      </c>
      <c r="D62" t="s">
        <v>17</v>
      </c>
      <c r="E62">
        <v>7</v>
      </c>
      <c r="F62">
        <v>2554</v>
      </c>
      <c r="G62" t="s">
        <v>35</v>
      </c>
      <c r="H62">
        <f>Table1[[#This Row],[Quantity Sold]]*Table1[[#This Row],[Unit Price]]</f>
        <v>17878</v>
      </c>
    </row>
    <row r="63" spans="1:11" x14ac:dyDescent="0.35">
      <c r="A63" s="1">
        <v>45471</v>
      </c>
      <c r="B63" t="s">
        <v>7</v>
      </c>
      <c r="C63" t="s">
        <v>11</v>
      </c>
      <c r="D63" t="s">
        <v>29</v>
      </c>
      <c r="E63">
        <v>6</v>
      </c>
      <c r="F63">
        <v>2949</v>
      </c>
      <c r="G63" t="s">
        <v>31</v>
      </c>
      <c r="H63">
        <f>Table1[[#This Row],[Quantity Sold]]*Table1[[#This Row],[Unit Price]]</f>
        <v>17694</v>
      </c>
    </row>
    <row r="64" spans="1:11" x14ac:dyDescent="0.35">
      <c r="A64" s="1">
        <v>45506</v>
      </c>
      <c r="B64" t="s">
        <v>8</v>
      </c>
      <c r="C64" t="s">
        <v>12</v>
      </c>
      <c r="D64" t="s">
        <v>22</v>
      </c>
      <c r="E64">
        <v>8</v>
      </c>
      <c r="F64">
        <v>2206</v>
      </c>
      <c r="G64" t="s">
        <v>34</v>
      </c>
      <c r="H64">
        <f>Table1[[#This Row],[Quantity Sold]]*Table1[[#This Row],[Unit Price]]</f>
        <v>17648</v>
      </c>
    </row>
    <row r="65" spans="1:8" x14ac:dyDescent="0.35">
      <c r="A65" s="1">
        <v>45548</v>
      </c>
      <c r="B65" t="s">
        <v>9</v>
      </c>
      <c r="C65" t="s">
        <v>13</v>
      </c>
      <c r="D65" t="s">
        <v>18</v>
      </c>
      <c r="E65">
        <v>8</v>
      </c>
      <c r="F65">
        <v>2165</v>
      </c>
      <c r="G65" t="s">
        <v>32</v>
      </c>
      <c r="H65">
        <f>Table1[[#This Row],[Quantity Sold]]*Table1[[#This Row],[Unit Price]]</f>
        <v>17320</v>
      </c>
    </row>
    <row r="66" spans="1:8" x14ac:dyDescent="0.35">
      <c r="A66" s="1">
        <v>45480</v>
      </c>
      <c r="B66" t="s">
        <v>7</v>
      </c>
      <c r="C66" t="s">
        <v>14</v>
      </c>
      <c r="D66" t="s">
        <v>20</v>
      </c>
      <c r="E66">
        <v>5</v>
      </c>
      <c r="F66">
        <v>3443</v>
      </c>
      <c r="G66" t="s">
        <v>35</v>
      </c>
      <c r="H66">
        <f>Table1[[#This Row],[Quantity Sold]]*Table1[[#This Row],[Unit Price]]</f>
        <v>17215</v>
      </c>
    </row>
    <row r="67" spans="1:8" x14ac:dyDescent="0.35">
      <c r="A67" s="1">
        <v>45385</v>
      </c>
      <c r="B67" t="s">
        <v>7</v>
      </c>
      <c r="C67" t="s">
        <v>13</v>
      </c>
      <c r="D67" t="s">
        <v>18</v>
      </c>
      <c r="E67">
        <v>8</v>
      </c>
      <c r="F67">
        <v>2138</v>
      </c>
      <c r="G67" t="s">
        <v>34</v>
      </c>
      <c r="H67">
        <f>Table1[[#This Row],[Quantity Sold]]*Table1[[#This Row],[Unit Price]]</f>
        <v>17104</v>
      </c>
    </row>
    <row r="68" spans="1:8" x14ac:dyDescent="0.35">
      <c r="A68" s="1">
        <v>45427</v>
      </c>
      <c r="B68" t="s">
        <v>8</v>
      </c>
      <c r="C68" t="s">
        <v>11</v>
      </c>
      <c r="D68" t="s">
        <v>19</v>
      </c>
      <c r="E68">
        <v>8</v>
      </c>
      <c r="F68">
        <v>2127</v>
      </c>
      <c r="G68" t="s">
        <v>32</v>
      </c>
      <c r="H68">
        <f>Table1[[#This Row],[Quantity Sold]]*Table1[[#This Row],[Unit Price]]</f>
        <v>17016</v>
      </c>
    </row>
    <row r="69" spans="1:8" x14ac:dyDescent="0.35">
      <c r="A69" s="1">
        <v>45508</v>
      </c>
      <c r="B69" t="s">
        <v>7</v>
      </c>
      <c r="C69" t="s">
        <v>14</v>
      </c>
      <c r="D69" t="s">
        <v>20</v>
      </c>
      <c r="E69">
        <v>7</v>
      </c>
      <c r="F69">
        <v>2426</v>
      </c>
      <c r="G69" t="s">
        <v>34</v>
      </c>
      <c r="H69">
        <f>Table1[[#This Row],[Quantity Sold]]*Table1[[#This Row],[Unit Price]]</f>
        <v>16982</v>
      </c>
    </row>
    <row r="70" spans="1:8" x14ac:dyDescent="0.35">
      <c r="A70" s="1">
        <v>45470</v>
      </c>
      <c r="B70" t="s">
        <v>8</v>
      </c>
      <c r="C70" t="s">
        <v>11</v>
      </c>
      <c r="D70" t="s">
        <v>16</v>
      </c>
      <c r="E70">
        <v>6</v>
      </c>
      <c r="F70">
        <v>2726</v>
      </c>
      <c r="G70" t="s">
        <v>31</v>
      </c>
      <c r="H70">
        <f>Table1[[#This Row],[Quantity Sold]]*Table1[[#This Row],[Unit Price]]</f>
        <v>16356</v>
      </c>
    </row>
    <row r="71" spans="1:8" x14ac:dyDescent="0.35">
      <c r="A71" s="1">
        <v>45628</v>
      </c>
      <c r="B71" t="s">
        <v>8</v>
      </c>
      <c r="C71" t="s">
        <v>14</v>
      </c>
      <c r="D71" t="s">
        <v>28</v>
      </c>
      <c r="E71">
        <v>5</v>
      </c>
      <c r="F71">
        <v>3220</v>
      </c>
      <c r="G71" t="s">
        <v>34</v>
      </c>
      <c r="H71">
        <f>Table1[[#This Row],[Quantity Sold]]*Table1[[#This Row],[Unit Price]]</f>
        <v>16100</v>
      </c>
    </row>
    <row r="72" spans="1:8" x14ac:dyDescent="0.35">
      <c r="A72" s="1">
        <v>45511</v>
      </c>
      <c r="B72" t="s">
        <v>8</v>
      </c>
      <c r="C72" t="s">
        <v>14</v>
      </c>
      <c r="D72" t="s">
        <v>27</v>
      </c>
      <c r="E72">
        <v>6</v>
      </c>
      <c r="F72">
        <v>2608</v>
      </c>
      <c r="G72" t="s">
        <v>35</v>
      </c>
      <c r="H72">
        <f>Table1[[#This Row],[Quantity Sold]]*Table1[[#This Row],[Unit Price]]</f>
        <v>15648</v>
      </c>
    </row>
    <row r="73" spans="1:8" x14ac:dyDescent="0.35">
      <c r="A73" s="1">
        <v>45514</v>
      </c>
      <c r="B73" t="s">
        <v>9</v>
      </c>
      <c r="C73" t="s">
        <v>11</v>
      </c>
      <c r="D73" t="s">
        <v>19</v>
      </c>
      <c r="E73">
        <v>5</v>
      </c>
      <c r="F73">
        <v>3082</v>
      </c>
      <c r="G73" t="s">
        <v>35</v>
      </c>
      <c r="H73">
        <f>Table1[[#This Row],[Quantity Sold]]*Table1[[#This Row],[Unit Price]]</f>
        <v>15410</v>
      </c>
    </row>
    <row r="74" spans="1:8" x14ac:dyDescent="0.35">
      <c r="A74" s="1">
        <v>45524</v>
      </c>
      <c r="B74" t="s">
        <v>7</v>
      </c>
      <c r="C74" t="s">
        <v>13</v>
      </c>
      <c r="D74" t="s">
        <v>18</v>
      </c>
      <c r="E74">
        <v>7</v>
      </c>
      <c r="F74">
        <v>2156</v>
      </c>
      <c r="G74" t="s">
        <v>32</v>
      </c>
      <c r="H74">
        <f>Table1[[#This Row],[Quantity Sold]]*Table1[[#This Row],[Unit Price]]</f>
        <v>15092</v>
      </c>
    </row>
    <row r="75" spans="1:8" x14ac:dyDescent="0.35">
      <c r="A75" s="1">
        <v>45369</v>
      </c>
      <c r="B75" t="s">
        <v>9</v>
      </c>
      <c r="C75" t="s">
        <v>13</v>
      </c>
      <c r="D75" t="s">
        <v>18</v>
      </c>
      <c r="E75">
        <v>5</v>
      </c>
      <c r="F75">
        <v>2998</v>
      </c>
      <c r="G75" t="s">
        <v>33</v>
      </c>
      <c r="H75">
        <f>Table1[[#This Row],[Quantity Sold]]*Table1[[#This Row],[Unit Price]]</f>
        <v>14990</v>
      </c>
    </row>
    <row r="76" spans="1:8" x14ac:dyDescent="0.35">
      <c r="A76" s="1">
        <v>45435</v>
      </c>
      <c r="B76" t="s">
        <v>10</v>
      </c>
      <c r="C76" t="s">
        <v>13</v>
      </c>
      <c r="D76" t="s">
        <v>26</v>
      </c>
      <c r="E76">
        <v>4</v>
      </c>
      <c r="F76">
        <v>3677</v>
      </c>
      <c r="G76" t="s">
        <v>35</v>
      </c>
      <c r="H76">
        <f>Table1[[#This Row],[Quantity Sold]]*Table1[[#This Row],[Unit Price]]</f>
        <v>14708</v>
      </c>
    </row>
    <row r="77" spans="1:8" x14ac:dyDescent="0.35">
      <c r="A77" s="1">
        <v>45418</v>
      </c>
      <c r="B77" t="s">
        <v>10</v>
      </c>
      <c r="C77" t="s">
        <v>13</v>
      </c>
      <c r="D77" t="s">
        <v>23</v>
      </c>
      <c r="E77">
        <v>5</v>
      </c>
      <c r="F77">
        <v>2938</v>
      </c>
      <c r="G77" t="s">
        <v>33</v>
      </c>
      <c r="H77">
        <f>Table1[[#This Row],[Quantity Sold]]*Table1[[#This Row],[Unit Price]]</f>
        <v>14690</v>
      </c>
    </row>
    <row r="78" spans="1:8" x14ac:dyDescent="0.35">
      <c r="A78" s="1">
        <v>45616</v>
      </c>
      <c r="B78" t="s">
        <v>8</v>
      </c>
      <c r="C78" t="s">
        <v>13</v>
      </c>
      <c r="D78" t="s">
        <v>26</v>
      </c>
      <c r="E78">
        <v>6</v>
      </c>
      <c r="F78">
        <v>2427</v>
      </c>
      <c r="G78" t="s">
        <v>31</v>
      </c>
      <c r="H78">
        <f>Table1[[#This Row],[Quantity Sold]]*Table1[[#This Row],[Unit Price]]</f>
        <v>14562</v>
      </c>
    </row>
    <row r="79" spans="1:8" x14ac:dyDescent="0.35">
      <c r="A79" s="1">
        <v>45564</v>
      </c>
      <c r="B79" t="s">
        <v>7</v>
      </c>
      <c r="C79" t="s">
        <v>11</v>
      </c>
      <c r="D79" t="s">
        <v>19</v>
      </c>
      <c r="E79">
        <v>7</v>
      </c>
      <c r="F79">
        <v>2076</v>
      </c>
      <c r="G79" t="s">
        <v>31</v>
      </c>
      <c r="H79">
        <f>Table1[[#This Row],[Quantity Sold]]*Table1[[#This Row],[Unit Price]]</f>
        <v>14532</v>
      </c>
    </row>
    <row r="80" spans="1:8" x14ac:dyDescent="0.35">
      <c r="A80" s="1">
        <v>45461</v>
      </c>
      <c r="B80" t="s">
        <v>10</v>
      </c>
      <c r="C80" t="s">
        <v>13</v>
      </c>
      <c r="D80" t="s">
        <v>23</v>
      </c>
      <c r="E80">
        <v>3</v>
      </c>
      <c r="F80">
        <v>4799</v>
      </c>
      <c r="G80" t="s">
        <v>35</v>
      </c>
      <c r="H80">
        <f>Table1[[#This Row],[Quantity Sold]]*Table1[[#This Row],[Unit Price]]</f>
        <v>14397</v>
      </c>
    </row>
    <row r="81" spans="1:8" x14ac:dyDescent="0.35">
      <c r="A81" s="1">
        <v>45568</v>
      </c>
      <c r="B81" t="s">
        <v>9</v>
      </c>
      <c r="C81" t="s">
        <v>13</v>
      </c>
      <c r="D81" t="s">
        <v>18</v>
      </c>
      <c r="E81">
        <v>5</v>
      </c>
      <c r="F81">
        <v>2809</v>
      </c>
      <c r="G81" t="s">
        <v>33</v>
      </c>
      <c r="H81">
        <f>Table1[[#This Row],[Quantity Sold]]*Table1[[#This Row],[Unit Price]]</f>
        <v>14045</v>
      </c>
    </row>
    <row r="82" spans="1:8" x14ac:dyDescent="0.35">
      <c r="A82" s="1">
        <v>45599</v>
      </c>
      <c r="B82" t="s">
        <v>10</v>
      </c>
      <c r="C82" t="s">
        <v>12</v>
      </c>
      <c r="D82" t="s">
        <v>22</v>
      </c>
      <c r="E82">
        <v>3</v>
      </c>
      <c r="F82">
        <v>4642</v>
      </c>
      <c r="G82" t="s">
        <v>34</v>
      </c>
      <c r="H82">
        <f>Table1[[#This Row],[Quantity Sold]]*Table1[[#This Row],[Unit Price]]</f>
        <v>13926</v>
      </c>
    </row>
    <row r="83" spans="1:8" x14ac:dyDescent="0.35">
      <c r="A83" s="1">
        <v>45443</v>
      </c>
      <c r="B83" t="s">
        <v>9</v>
      </c>
      <c r="C83" t="s">
        <v>14</v>
      </c>
      <c r="D83" t="s">
        <v>27</v>
      </c>
      <c r="E83">
        <v>3</v>
      </c>
      <c r="F83">
        <v>4599</v>
      </c>
      <c r="G83" t="s">
        <v>34</v>
      </c>
      <c r="H83">
        <f>Table1[[#This Row],[Quantity Sold]]*Table1[[#This Row],[Unit Price]]</f>
        <v>13797</v>
      </c>
    </row>
    <row r="84" spans="1:8" x14ac:dyDescent="0.35">
      <c r="A84" s="1">
        <v>45553</v>
      </c>
      <c r="B84" t="s">
        <v>10</v>
      </c>
      <c r="C84" t="s">
        <v>14</v>
      </c>
      <c r="D84" t="s">
        <v>27</v>
      </c>
      <c r="E84">
        <v>5</v>
      </c>
      <c r="F84">
        <v>2693</v>
      </c>
      <c r="G84" t="s">
        <v>31</v>
      </c>
      <c r="H84">
        <f>Table1[[#This Row],[Quantity Sold]]*Table1[[#This Row],[Unit Price]]</f>
        <v>13465</v>
      </c>
    </row>
    <row r="85" spans="1:8" x14ac:dyDescent="0.35">
      <c r="A85" s="1">
        <v>45415</v>
      </c>
      <c r="B85" t="s">
        <v>9</v>
      </c>
      <c r="C85" t="s">
        <v>12</v>
      </c>
      <c r="D85" t="s">
        <v>25</v>
      </c>
      <c r="E85">
        <v>3</v>
      </c>
      <c r="F85">
        <v>4464</v>
      </c>
      <c r="G85" t="s">
        <v>32</v>
      </c>
      <c r="H85">
        <f>Table1[[#This Row],[Quantity Sold]]*Table1[[#This Row],[Unit Price]]</f>
        <v>13392</v>
      </c>
    </row>
    <row r="86" spans="1:8" x14ac:dyDescent="0.35">
      <c r="A86" s="1">
        <v>45427</v>
      </c>
      <c r="B86" t="s">
        <v>10</v>
      </c>
      <c r="C86" t="s">
        <v>11</v>
      </c>
      <c r="D86" t="s">
        <v>16</v>
      </c>
      <c r="E86">
        <v>4</v>
      </c>
      <c r="F86">
        <v>3328</v>
      </c>
      <c r="G86" t="s">
        <v>35</v>
      </c>
      <c r="H86">
        <f>Table1[[#This Row],[Quantity Sold]]*Table1[[#This Row],[Unit Price]]</f>
        <v>13312</v>
      </c>
    </row>
    <row r="87" spans="1:8" x14ac:dyDescent="0.35">
      <c r="A87" s="1">
        <v>45593</v>
      </c>
      <c r="B87" t="s">
        <v>10</v>
      </c>
      <c r="C87" t="s">
        <v>12</v>
      </c>
      <c r="D87" t="s">
        <v>25</v>
      </c>
      <c r="E87">
        <v>7</v>
      </c>
      <c r="F87">
        <v>1892</v>
      </c>
      <c r="G87" t="s">
        <v>35</v>
      </c>
      <c r="H87">
        <f>Table1[[#This Row],[Quantity Sold]]*Table1[[#This Row],[Unit Price]]</f>
        <v>13244</v>
      </c>
    </row>
    <row r="88" spans="1:8" x14ac:dyDescent="0.35">
      <c r="A88" s="1">
        <v>45515</v>
      </c>
      <c r="B88" t="s">
        <v>8</v>
      </c>
      <c r="C88" t="s">
        <v>14</v>
      </c>
      <c r="D88" t="s">
        <v>30</v>
      </c>
      <c r="E88">
        <v>9</v>
      </c>
      <c r="F88">
        <v>1453</v>
      </c>
      <c r="G88" t="s">
        <v>33</v>
      </c>
      <c r="H88">
        <f>Table1[[#This Row],[Quantity Sold]]*Table1[[#This Row],[Unit Price]]</f>
        <v>13077</v>
      </c>
    </row>
    <row r="89" spans="1:8" x14ac:dyDescent="0.35">
      <c r="A89" s="1">
        <v>45534</v>
      </c>
      <c r="B89" t="s">
        <v>9</v>
      </c>
      <c r="C89" t="s">
        <v>13</v>
      </c>
      <c r="D89" t="s">
        <v>24</v>
      </c>
      <c r="E89">
        <v>7</v>
      </c>
      <c r="F89">
        <v>1822</v>
      </c>
      <c r="G89" t="s">
        <v>33</v>
      </c>
      <c r="H89">
        <f>Table1[[#This Row],[Quantity Sold]]*Table1[[#This Row],[Unit Price]]</f>
        <v>12754</v>
      </c>
    </row>
    <row r="90" spans="1:8" x14ac:dyDescent="0.35">
      <c r="A90" s="1">
        <v>45417</v>
      </c>
      <c r="B90" t="s">
        <v>7</v>
      </c>
      <c r="C90" t="s">
        <v>12</v>
      </c>
      <c r="D90" t="s">
        <v>25</v>
      </c>
      <c r="E90">
        <v>3</v>
      </c>
      <c r="F90">
        <v>4234</v>
      </c>
      <c r="G90" t="s">
        <v>35</v>
      </c>
      <c r="H90">
        <f>Table1[[#This Row],[Quantity Sold]]*Table1[[#This Row],[Unit Price]]</f>
        <v>12702</v>
      </c>
    </row>
    <row r="91" spans="1:8" x14ac:dyDescent="0.35">
      <c r="A91" s="1">
        <v>45427</v>
      </c>
      <c r="B91" t="s">
        <v>8</v>
      </c>
      <c r="C91" t="s">
        <v>13</v>
      </c>
      <c r="D91" t="s">
        <v>18</v>
      </c>
      <c r="E91">
        <v>5</v>
      </c>
      <c r="F91">
        <v>2486</v>
      </c>
      <c r="G91" t="s">
        <v>35</v>
      </c>
      <c r="H91">
        <f>Table1[[#This Row],[Quantity Sold]]*Table1[[#This Row],[Unit Price]]</f>
        <v>12430</v>
      </c>
    </row>
    <row r="92" spans="1:8" x14ac:dyDescent="0.35">
      <c r="A92" s="1">
        <v>45529</v>
      </c>
      <c r="B92" t="s">
        <v>7</v>
      </c>
      <c r="C92" t="s">
        <v>14</v>
      </c>
      <c r="D92" t="s">
        <v>30</v>
      </c>
      <c r="E92">
        <v>7</v>
      </c>
      <c r="F92">
        <v>1746</v>
      </c>
      <c r="G92" t="s">
        <v>33</v>
      </c>
      <c r="H92">
        <f>Table1[[#This Row],[Quantity Sold]]*Table1[[#This Row],[Unit Price]]</f>
        <v>12222</v>
      </c>
    </row>
    <row r="93" spans="1:8" x14ac:dyDescent="0.35">
      <c r="A93" s="1">
        <v>45561</v>
      </c>
      <c r="B93" t="s">
        <v>8</v>
      </c>
      <c r="C93" t="s">
        <v>14</v>
      </c>
      <c r="D93" t="s">
        <v>30</v>
      </c>
      <c r="E93">
        <v>9</v>
      </c>
      <c r="F93">
        <v>1352</v>
      </c>
      <c r="G93" t="s">
        <v>32</v>
      </c>
      <c r="H93">
        <f>Table1[[#This Row],[Quantity Sold]]*Table1[[#This Row],[Unit Price]]</f>
        <v>12168</v>
      </c>
    </row>
    <row r="94" spans="1:8" x14ac:dyDescent="0.35">
      <c r="A94" s="1">
        <v>45584</v>
      </c>
      <c r="B94" t="s">
        <v>8</v>
      </c>
      <c r="C94" t="s">
        <v>11</v>
      </c>
      <c r="D94" t="s">
        <v>15</v>
      </c>
      <c r="E94">
        <v>4</v>
      </c>
      <c r="F94">
        <v>3035</v>
      </c>
      <c r="G94" t="s">
        <v>31</v>
      </c>
      <c r="H94">
        <f>Table1[[#This Row],[Quantity Sold]]*Table1[[#This Row],[Unit Price]]</f>
        <v>12140</v>
      </c>
    </row>
    <row r="95" spans="1:8" x14ac:dyDescent="0.35">
      <c r="A95" s="1">
        <v>45306</v>
      </c>
      <c r="B95" t="s">
        <v>8</v>
      </c>
      <c r="C95" t="s">
        <v>13</v>
      </c>
      <c r="D95" t="s">
        <v>23</v>
      </c>
      <c r="E95">
        <v>6</v>
      </c>
      <c r="F95">
        <v>2006</v>
      </c>
      <c r="G95" t="s">
        <v>34</v>
      </c>
      <c r="H95">
        <f>Table1[[#This Row],[Quantity Sold]]*Table1[[#This Row],[Unit Price]]</f>
        <v>12036</v>
      </c>
    </row>
    <row r="96" spans="1:8" x14ac:dyDescent="0.35">
      <c r="A96" s="1">
        <v>45296</v>
      </c>
      <c r="B96" t="s">
        <v>9</v>
      </c>
      <c r="C96" t="s">
        <v>13</v>
      </c>
      <c r="D96" t="s">
        <v>26</v>
      </c>
      <c r="E96">
        <v>3</v>
      </c>
      <c r="F96">
        <v>3940</v>
      </c>
      <c r="G96" t="s">
        <v>32</v>
      </c>
      <c r="H96">
        <f>Table1[[#This Row],[Quantity Sold]]*Table1[[#This Row],[Unit Price]]</f>
        <v>11820</v>
      </c>
    </row>
    <row r="97" spans="1:8" x14ac:dyDescent="0.35">
      <c r="A97" s="1">
        <v>45327</v>
      </c>
      <c r="B97" t="s">
        <v>10</v>
      </c>
      <c r="C97" t="s">
        <v>11</v>
      </c>
      <c r="D97" t="s">
        <v>19</v>
      </c>
      <c r="E97">
        <v>3</v>
      </c>
      <c r="F97">
        <v>3795</v>
      </c>
      <c r="G97" t="s">
        <v>33</v>
      </c>
      <c r="H97">
        <f>Table1[[#This Row],[Quantity Sold]]*Table1[[#This Row],[Unit Price]]</f>
        <v>11385</v>
      </c>
    </row>
    <row r="98" spans="1:8" x14ac:dyDescent="0.35">
      <c r="A98" s="1">
        <v>45349</v>
      </c>
      <c r="B98" t="s">
        <v>7</v>
      </c>
      <c r="C98" t="s">
        <v>13</v>
      </c>
      <c r="D98" t="s">
        <v>24</v>
      </c>
      <c r="E98">
        <v>3</v>
      </c>
      <c r="F98">
        <v>3775</v>
      </c>
      <c r="G98" t="s">
        <v>31</v>
      </c>
      <c r="H98">
        <f>Table1[[#This Row],[Quantity Sold]]*Table1[[#This Row],[Unit Price]]</f>
        <v>11325</v>
      </c>
    </row>
    <row r="99" spans="1:8" x14ac:dyDescent="0.35">
      <c r="A99" s="1">
        <v>45555</v>
      </c>
      <c r="B99" t="s">
        <v>9</v>
      </c>
      <c r="C99" t="s">
        <v>11</v>
      </c>
      <c r="D99" t="s">
        <v>19</v>
      </c>
      <c r="E99">
        <v>3</v>
      </c>
      <c r="F99">
        <v>3775</v>
      </c>
      <c r="G99" t="s">
        <v>32</v>
      </c>
      <c r="H99">
        <f>Table1[[#This Row],[Quantity Sold]]*Table1[[#This Row],[Unit Price]]</f>
        <v>11325</v>
      </c>
    </row>
    <row r="100" spans="1:8" x14ac:dyDescent="0.35">
      <c r="A100" s="1">
        <v>45580</v>
      </c>
      <c r="B100" t="s">
        <v>9</v>
      </c>
      <c r="C100" t="s">
        <v>13</v>
      </c>
      <c r="D100" t="s">
        <v>23</v>
      </c>
      <c r="E100">
        <v>9</v>
      </c>
      <c r="F100">
        <v>1220</v>
      </c>
      <c r="G100" t="s">
        <v>33</v>
      </c>
      <c r="H100">
        <f>Table1[[#This Row],[Quantity Sold]]*Table1[[#This Row],[Unit Price]]</f>
        <v>10980</v>
      </c>
    </row>
    <row r="101" spans="1:8" x14ac:dyDescent="0.35">
      <c r="A101" s="1">
        <v>45461</v>
      </c>
      <c r="B101" t="s">
        <v>9</v>
      </c>
      <c r="C101" t="s">
        <v>12</v>
      </c>
      <c r="D101" t="s">
        <v>25</v>
      </c>
      <c r="E101">
        <v>6</v>
      </c>
      <c r="F101">
        <v>1815</v>
      </c>
      <c r="G101" t="s">
        <v>32</v>
      </c>
      <c r="H101">
        <f>Table1[[#This Row],[Quantity Sold]]*Table1[[#This Row],[Unit Price]]</f>
        <v>10890</v>
      </c>
    </row>
    <row r="102" spans="1:8" x14ac:dyDescent="0.35">
      <c r="A102" s="1">
        <v>45338</v>
      </c>
      <c r="B102" t="s">
        <v>10</v>
      </c>
      <c r="C102" t="s">
        <v>13</v>
      </c>
      <c r="D102" t="s">
        <v>24</v>
      </c>
      <c r="E102">
        <v>3</v>
      </c>
      <c r="F102">
        <v>3612</v>
      </c>
      <c r="G102" t="s">
        <v>34</v>
      </c>
      <c r="H102">
        <f>Table1[[#This Row],[Quantity Sold]]*Table1[[#This Row],[Unit Price]]</f>
        <v>10836</v>
      </c>
    </row>
    <row r="103" spans="1:8" x14ac:dyDescent="0.35">
      <c r="A103" s="1">
        <v>45342</v>
      </c>
      <c r="B103" t="s">
        <v>10</v>
      </c>
      <c r="C103" t="s">
        <v>11</v>
      </c>
      <c r="D103" t="s">
        <v>19</v>
      </c>
      <c r="E103">
        <v>5</v>
      </c>
      <c r="F103">
        <v>2148</v>
      </c>
      <c r="G103" t="s">
        <v>35</v>
      </c>
      <c r="H103">
        <f>Table1[[#This Row],[Quantity Sold]]*Table1[[#This Row],[Unit Price]]</f>
        <v>10740</v>
      </c>
    </row>
    <row r="104" spans="1:8" x14ac:dyDescent="0.35">
      <c r="A104" s="1">
        <v>45418</v>
      </c>
      <c r="B104" t="s">
        <v>7</v>
      </c>
      <c r="C104" t="s">
        <v>14</v>
      </c>
      <c r="D104" t="s">
        <v>30</v>
      </c>
      <c r="E104">
        <v>6</v>
      </c>
      <c r="F104">
        <v>1786</v>
      </c>
      <c r="G104" t="s">
        <v>31</v>
      </c>
      <c r="H104">
        <f>Table1[[#This Row],[Quantity Sold]]*Table1[[#This Row],[Unit Price]]</f>
        <v>10716</v>
      </c>
    </row>
    <row r="105" spans="1:8" x14ac:dyDescent="0.35">
      <c r="A105" s="1">
        <v>45419</v>
      </c>
      <c r="B105" t="s">
        <v>10</v>
      </c>
      <c r="C105" t="s">
        <v>14</v>
      </c>
      <c r="D105" t="s">
        <v>27</v>
      </c>
      <c r="E105">
        <v>8</v>
      </c>
      <c r="F105">
        <v>1318</v>
      </c>
      <c r="G105" t="s">
        <v>33</v>
      </c>
      <c r="H105">
        <f>Table1[[#This Row],[Quantity Sold]]*Table1[[#This Row],[Unit Price]]</f>
        <v>10544</v>
      </c>
    </row>
    <row r="106" spans="1:8" x14ac:dyDescent="0.35">
      <c r="A106" s="1">
        <v>45373</v>
      </c>
      <c r="B106" t="s">
        <v>7</v>
      </c>
      <c r="C106" t="s">
        <v>13</v>
      </c>
      <c r="D106" t="s">
        <v>23</v>
      </c>
      <c r="E106">
        <v>3</v>
      </c>
      <c r="F106">
        <v>3424</v>
      </c>
      <c r="G106" t="s">
        <v>35</v>
      </c>
      <c r="H106">
        <f>Table1[[#This Row],[Quantity Sold]]*Table1[[#This Row],[Unit Price]]</f>
        <v>10272</v>
      </c>
    </row>
    <row r="107" spans="1:8" x14ac:dyDescent="0.35">
      <c r="A107" s="1">
        <v>45367</v>
      </c>
      <c r="B107" t="s">
        <v>10</v>
      </c>
      <c r="C107" t="s">
        <v>11</v>
      </c>
      <c r="D107" t="s">
        <v>16</v>
      </c>
      <c r="E107">
        <v>2</v>
      </c>
      <c r="F107">
        <v>4946</v>
      </c>
      <c r="G107" t="s">
        <v>31</v>
      </c>
      <c r="H107">
        <f>Table1[[#This Row],[Quantity Sold]]*Table1[[#This Row],[Unit Price]]</f>
        <v>9892</v>
      </c>
    </row>
    <row r="108" spans="1:8" x14ac:dyDescent="0.35">
      <c r="A108" s="1">
        <v>45644</v>
      </c>
      <c r="B108" t="s">
        <v>9</v>
      </c>
      <c r="C108" t="s">
        <v>12</v>
      </c>
      <c r="D108" t="s">
        <v>22</v>
      </c>
      <c r="E108">
        <v>5</v>
      </c>
      <c r="F108">
        <v>1965</v>
      </c>
      <c r="G108" t="s">
        <v>35</v>
      </c>
      <c r="H108">
        <f>Table1[[#This Row],[Quantity Sold]]*Table1[[#This Row],[Unit Price]]</f>
        <v>9825</v>
      </c>
    </row>
    <row r="109" spans="1:8" x14ac:dyDescent="0.35">
      <c r="A109" s="1">
        <v>45526</v>
      </c>
      <c r="B109" t="s">
        <v>9</v>
      </c>
      <c r="C109" t="s">
        <v>13</v>
      </c>
      <c r="D109" t="s">
        <v>18</v>
      </c>
      <c r="E109">
        <v>7</v>
      </c>
      <c r="F109">
        <v>1401</v>
      </c>
      <c r="G109" t="s">
        <v>33</v>
      </c>
      <c r="H109">
        <f>Table1[[#This Row],[Quantity Sold]]*Table1[[#This Row],[Unit Price]]</f>
        <v>9807</v>
      </c>
    </row>
    <row r="110" spans="1:8" x14ac:dyDescent="0.35">
      <c r="A110" s="1">
        <v>45555</v>
      </c>
      <c r="B110" t="s">
        <v>8</v>
      </c>
      <c r="C110" t="s">
        <v>11</v>
      </c>
      <c r="D110" t="s">
        <v>29</v>
      </c>
      <c r="E110">
        <v>2</v>
      </c>
      <c r="F110">
        <v>4818</v>
      </c>
      <c r="G110" t="s">
        <v>34</v>
      </c>
      <c r="H110">
        <f>Table1[[#This Row],[Quantity Sold]]*Table1[[#This Row],[Unit Price]]</f>
        <v>9636</v>
      </c>
    </row>
    <row r="111" spans="1:8" x14ac:dyDescent="0.35">
      <c r="A111" s="1">
        <v>45428</v>
      </c>
      <c r="B111" t="s">
        <v>9</v>
      </c>
      <c r="C111" t="s">
        <v>13</v>
      </c>
      <c r="D111" t="s">
        <v>23</v>
      </c>
      <c r="E111">
        <v>2</v>
      </c>
      <c r="F111">
        <v>4529</v>
      </c>
      <c r="G111" t="s">
        <v>33</v>
      </c>
      <c r="H111">
        <f>Table1[[#This Row],[Quantity Sold]]*Table1[[#This Row],[Unit Price]]</f>
        <v>9058</v>
      </c>
    </row>
    <row r="112" spans="1:8" x14ac:dyDescent="0.35">
      <c r="A112" s="1">
        <v>45547</v>
      </c>
      <c r="B112" t="s">
        <v>7</v>
      </c>
      <c r="C112" t="s">
        <v>13</v>
      </c>
      <c r="D112" t="s">
        <v>24</v>
      </c>
      <c r="E112">
        <v>7</v>
      </c>
      <c r="F112">
        <v>1284</v>
      </c>
      <c r="G112" t="s">
        <v>31</v>
      </c>
      <c r="H112">
        <f>Table1[[#This Row],[Quantity Sold]]*Table1[[#This Row],[Unit Price]]</f>
        <v>8988</v>
      </c>
    </row>
    <row r="113" spans="1:8" x14ac:dyDescent="0.35">
      <c r="A113" s="1">
        <v>45443</v>
      </c>
      <c r="B113" t="s">
        <v>7</v>
      </c>
      <c r="C113" t="s">
        <v>13</v>
      </c>
      <c r="D113" t="s">
        <v>26</v>
      </c>
      <c r="E113">
        <v>4</v>
      </c>
      <c r="F113">
        <v>2243</v>
      </c>
      <c r="G113" t="s">
        <v>35</v>
      </c>
      <c r="H113">
        <f>Table1[[#This Row],[Quantity Sold]]*Table1[[#This Row],[Unit Price]]</f>
        <v>8972</v>
      </c>
    </row>
    <row r="114" spans="1:8" x14ac:dyDescent="0.35">
      <c r="A114" s="1">
        <v>45463</v>
      </c>
      <c r="B114" t="s">
        <v>9</v>
      </c>
      <c r="C114" t="s">
        <v>14</v>
      </c>
      <c r="D114" t="s">
        <v>28</v>
      </c>
      <c r="E114">
        <v>5</v>
      </c>
      <c r="F114">
        <v>1773</v>
      </c>
      <c r="G114" t="s">
        <v>35</v>
      </c>
      <c r="H114">
        <f>Table1[[#This Row],[Quantity Sold]]*Table1[[#This Row],[Unit Price]]</f>
        <v>8865</v>
      </c>
    </row>
    <row r="115" spans="1:8" x14ac:dyDescent="0.35">
      <c r="A115" s="1">
        <v>45561</v>
      </c>
      <c r="B115" t="s">
        <v>7</v>
      </c>
      <c r="C115" t="s">
        <v>12</v>
      </c>
      <c r="D115" t="s">
        <v>21</v>
      </c>
      <c r="E115">
        <v>2</v>
      </c>
      <c r="F115">
        <v>4397</v>
      </c>
      <c r="G115" t="s">
        <v>33</v>
      </c>
      <c r="H115">
        <f>Table1[[#This Row],[Quantity Sold]]*Table1[[#This Row],[Unit Price]]</f>
        <v>8794</v>
      </c>
    </row>
    <row r="116" spans="1:8" x14ac:dyDescent="0.35">
      <c r="A116" s="1">
        <v>45550</v>
      </c>
      <c r="B116" t="s">
        <v>10</v>
      </c>
      <c r="C116" t="s">
        <v>12</v>
      </c>
      <c r="D116" t="s">
        <v>25</v>
      </c>
      <c r="E116">
        <v>4</v>
      </c>
      <c r="F116">
        <v>2126</v>
      </c>
      <c r="G116" t="s">
        <v>31</v>
      </c>
      <c r="H116">
        <f>Table1[[#This Row],[Quantity Sold]]*Table1[[#This Row],[Unit Price]]</f>
        <v>8504</v>
      </c>
    </row>
    <row r="117" spans="1:8" x14ac:dyDescent="0.35">
      <c r="A117" s="1">
        <v>45622</v>
      </c>
      <c r="B117" t="s">
        <v>8</v>
      </c>
      <c r="C117" t="s">
        <v>14</v>
      </c>
      <c r="D117" t="s">
        <v>27</v>
      </c>
      <c r="E117">
        <v>4</v>
      </c>
      <c r="F117">
        <v>2081</v>
      </c>
      <c r="G117" t="s">
        <v>31</v>
      </c>
      <c r="H117">
        <f>Table1[[#This Row],[Quantity Sold]]*Table1[[#This Row],[Unit Price]]</f>
        <v>8324</v>
      </c>
    </row>
    <row r="118" spans="1:8" x14ac:dyDescent="0.35">
      <c r="A118" s="1">
        <v>45651</v>
      </c>
      <c r="B118" t="s">
        <v>8</v>
      </c>
      <c r="C118" t="s">
        <v>12</v>
      </c>
      <c r="D118" t="s">
        <v>21</v>
      </c>
      <c r="E118">
        <v>8</v>
      </c>
      <c r="F118">
        <v>999</v>
      </c>
      <c r="G118" t="s">
        <v>34</v>
      </c>
      <c r="H118">
        <f>Table1[[#This Row],[Quantity Sold]]*Table1[[#This Row],[Unit Price]]</f>
        <v>7992</v>
      </c>
    </row>
    <row r="119" spans="1:8" x14ac:dyDescent="0.35">
      <c r="A119" s="1">
        <v>45584</v>
      </c>
      <c r="B119" t="s">
        <v>7</v>
      </c>
      <c r="C119" t="s">
        <v>12</v>
      </c>
      <c r="D119" t="s">
        <v>22</v>
      </c>
      <c r="E119">
        <v>2</v>
      </c>
      <c r="F119">
        <v>3898</v>
      </c>
      <c r="G119" t="s">
        <v>31</v>
      </c>
      <c r="H119">
        <f>Table1[[#This Row],[Quantity Sold]]*Table1[[#This Row],[Unit Price]]</f>
        <v>7796</v>
      </c>
    </row>
    <row r="120" spans="1:8" x14ac:dyDescent="0.35">
      <c r="A120" s="1">
        <v>45546</v>
      </c>
      <c r="B120" t="s">
        <v>10</v>
      </c>
      <c r="C120" t="s">
        <v>13</v>
      </c>
      <c r="D120" t="s">
        <v>26</v>
      </c>
      <c r="E120">
        <v>3</v>
      </c>
      <c r="F120">
        <v>2590</v>
      </c>
      <c r="G120" t="s">
        <v>34</v>
      </c>
      <c r="H120">
        <f>Table1[[#This Row],[Quantity Sold]]*Table1[[#This Row],[Unit Price]]</f>
        <v>7770</v>
      </c>
    </row>
    <row r="121" spans="1:8" x14ac:dyDescent="0.35">
      <c r="A121" s="1">
        <v>45601</v>
      </c>
      <c r="B121" t="s">
        <v>7</v>
      </c>
      <c r="C121" t="s">
        <v>14</v>
      </c>
      <c r="D121" t="s">
        <v>28</v>
      </c>
      <c r="E121">
        <v>2</v>
      </c>
      <c r="F121">
        <v>3877</v>
      </c>
      <c r="G121" t="s">
        <v>35</v>
      </c>
      <c r="H121">
        <f>Table1[[#This Row],[Quantity Sold]]*Table1[[#This Row],[Unit Price]]</f>
        <v>7754</v>
      </c>
    </row>
    <row r="122" spans="1:8" x14ac:dyDescent="0.35">
      <c r="A122" s="1">
        <v>45324</v>
      </c>
      <c r="B122" t="s">
        <v>10</v>
      </c>
      <c r="C122" t="s">
        <v>14</v>
      </c>
      <c r="D122" t="s">
        <v>27</v>
      </c>
      <c r="E122">
        <v>2</v>
      </c>
      <c r="F122">
        <v>3846</v>
      </c>
      <c r="G122" t="s">
        <v>35</v>
      </c>
      <c r="H122">
        <f>Table1[[#This Row],[Quantity Sold]]*Table1[[#This Row],[Unit Price]]</f>
        <v>7692</v>
      </c>
    </row>
    <row r="123" spans="1:8" x14ac:dyDescent="0.35">
      <c r="A123" s="1">
        <v>45522</v>
      </c>
      <c r="B123" t="s">
        <v>10</v>
      </c>
      <c r="C123" t="s">
        <v>13</v>
      </c>
      <c r="D123" t="s">
        <v>24</v>
      </c>
      <c r="E123">
        <v>4</v>
      </c>
      <c r="F123">
        <v>1857</v>
      </c>
      <c r="G123" t="s">
        <v>32</v>
      </c>
      <c r="H123">
        <f>Table1[[#This Row],[Quantity Sold]]*Table1[[#This Row],[Unit Price]]</f>
        <v>7428</v>
      </c>
    </row>
    <row r="124" spans="1:8" x14ac:dyDescent="0.35">
      <c r="A124" s="1">
        <v>45298</v>
      </c>
      <c r="B124" t="s">
        <v>9</v>
      </c>
      <c r="C124" t="s">
        <v>12</v>
      </c>
      <c r="D124" t="s">
        <v>25</v>
      </c>
      <c r="E124">
        <v>7</v>
      </c>
      <c r="F124">
        <v>1043</v>
      </c>
      <c r="G124" t="s">
        <v>34</v>
      </c>
      <c r="H124">
        <f>Table1[[#This Row],[Quantity Sold]]*Table1[[#This Row],[Unit Price]]</f>
        <v>7301</v>
      </c>
    </row>
    <row r="125" spans="1:8" x14ac:dyDescent="0.35">
      <c r="A125" s="1">
        <v>45640</v>
      </c>
      <c r="B125" t="s">
        <v>8</v>
      </c>
      <c r="C125" t="s">
        <v>11</v>
      </c>
      <c r="D125" t="s">
        <v>16</v>
      </c>
      <c r="E125">
        <v>2</v>
      </c>
      <c r="F125">
        <v>3562</v>
      </c>
      <c r="G125" t="s">
        <v>34</v>
      </c>
      <c r="H125">
        <f>Table1[[#This Row],[Quantity Sold]]*Table1[[#This Row],[Unit Price]]</f>
        <v>7124</v>
      </c>
    </row>
    <row r="126" spans="1:8" x14ac:dyDescent="0.35">
      <c r="A126" s="1">
        <v>45618</v>
      </c>
      <c r="B126" t="s">
        <v>10</v>
      </c>
      <c r="C126" t="s">
        <v>13</v>
      </c>
      <c r="D126" t="s">
        <v>23</v>
      </c>
      <c r="E126">
        <v>4</v>
      </c>
      <c r="F126">
        <v>1780</v>
      </c>
      <c r="G126" t="s">
        <v>35</v>
      </c>
      <c r="H126">
        <f>Table1[[#This Row],[Quantity Sold]]*Table1[[#This Row],[Unit Price]]</f>
        <v>7120</v>
      </c>
    </row>
    <row r="127" spans="1:8" x14ac:dyDescent="0.35">
      <c r="A127" s="1">
        <v>45648</v>
      </c>
      <c r="B127" t="s">
        <v>10</v>
      </c>
      <c r="C127" t="s">
        <v>13</v>
      </c>
      <c r="D127" t="s">
        <v>18</v>
      </c>
      <c r="E127">
        <v>9</v>
      </c>
      <c r="F127">
        <v>775</v>
      </c>
      <c r="G127" t="s">
        <v>32</v>
      </c>
      <c r="H127">
        <f>Table1[[#This Row],[Quantity Sold]]*Table1[[#This Row],[Unit Price]]</f>
        <v>6975</v>
      </c>
    </row>
    <row r="128" spans="1:8" x14ac:dyDescent="0.35">
      <c r="A128" s="1">
        <v>45571</v>
      </c>
      <c r="B128" t="s">
        <v>10</v>
      </c>
      <c r="C128" t="s">
        <v>12</v>
      </c>
      <c r="D128" t="s">
        <v>17</v>
      </c>
      <c r="E128">
        <v>6</v>
      </c>
      <c r="F128">
        <v>1160</v>
      </c>
      <c r="G128" t="s">
        <v>34</v>
      </c>
      <c r="H128">
        <f>Table1[[#This Row],[Quantity Sold]]*Table1[[#This Row],[Unit Price]]</f>
        <v>6960</v>
      </c>
    </row>
    <row r="129" spans="1:8" x14ac:dyDescent="0.35">
      <c r="A129" s="1">
        <v>45638</v>
      </c>
      <c r="B129" t="s">
        <v>10</v>
      </c>
      <c r="C129" t="s">
        <v>11</v>
      </c>
      <c r="D129" t="s">
        <v>29</v>
      </c>
      <c r="E129">
        <v>2</v>
      </c>
      <c r="F129">
        <v>3381</v>
      </c>
      <c r="G129" t="s">
        <v>32</v>
      </c>
      <c r="H129">
        <f>Table1[[#This Row],[Quantity Sold]]*Table1[[#This Row],[Unit Price]]</f>
        <v>6762</v>
      </c>
    </row>
    <row r="130" spans="1:8" x14ac:dyDescent="0.35">
      <c r="A130" s="1">
        <v>45651</v>
      </c>
      <c r="B130" t="s">
        <v>8</v>
      </c>
      <c r="C130" t="s">
        <v>12</v>
      </c>
      <c r="D130" t="s">
        <v>17</v>
      </c>
      <c r="E130">
        <v>4</v>
      </c>
      <c r="F130">
        <v>1685</v>
      </c>
      <c r="G130" t="s">
        <v>31</v>
      </c>
      <c r="H130">
        <f>Table1[[#This Row],[Quantity Sold]]*Table1[[#This Row],[Unit Price]]</f>
        <v>6740</v>
      </c>
    </row>
    <row r="131" spans="1:8" x14ac:dyDescent="0.35">
      <c r="A131" s="1">
        <v>45601</v>
      </c>
      <c r="B131" t="s">
        <v>7</v>
      </c>
      <c r="C131" t="s">
        <v>13</v>
      </c>
      <c r="D131" t="s">
        <v>24</v>
      </c>
      <c r="E131">
        <v>2</v>
      </c>
      <c r="F131">
        <v>3167</v>
      </c>
      <c r="G131" t="s">
        <v>34</v>
      </c>
      <c r="H131">
        <f>Table1[[#This Row],[Quantity Sold]]*Table1[[#This Row],[Unit Price]]</f>
        <v>6334</v>
      </c>
    </row>
    <row r="132" spans="1:8" x14ac:dyDescent="0.35">
      <c r="A132" s="1">
        <v>45639</v>
      </c>
      <c r="B132" t="s">
        <v>9</v>
      </c>
      <c r="C132" t="s">
        <v>11</v>
      </c>
      <c r="D132" t="s">
        <v>19</v>
      </c>
      <c r="E132">
        <v>3</v>
      </c>
      <c r="F132">
        <v>2096</v>
      </c>
      <c r="G132" t="s">
        <v>34</v>
      </c>
      <c r="H132">
        <f>Table1[[#This Row],[Quantity Sold]]*Table1[[#This Row],[Unit Price]]</f>
        <v>6288</v>
      </c>
    </row>
    <row r="133" spans="1:8" x14ac:dyDescent="0.35">
      <c r="A133" s="1">
        <v>45639</v>
      </c>
      <c r="B133" t="s">
        <v>8</v>
      </c>
      <c r="C133" t="s">
        <v>14</v>
      </c>
      <c r="D133" t="s">
        <v>27</v>
      </c>
      <c r="E133">
        <v>5</v>
      </c>
      <c r="F133">
        <v>1245</v>
      </c>
      <c r="G133" t="s">
        <v>31</v>
      </c>
      <c r="H133">
        <f>Table1[[#This Row],[Quantity Sold]]*Table1[[#This Row],[Unit Price]]</f>
        <v>6225</v>
      </c>
    </row>
    <row r="134" spans="1:8" x14ac:dyDescent="0.35">
      <c r="A134" s="1">
        <v>45615</v>
      </c>
      <c r="B134" t="s">
        <v>7</v>
      </c>
      <c r="C134" t="s">
        <v>11</v>
      </c>
      <c r="D134" t="s">
        <v>19</v>
      </c>
      <c r="E134">
        <v>5</v>
      </c>
      <c r="F134">
        <v>1241</v>
      </c>
      <c r="G134" t="s">
        <v>33</v>
      </c>
      <c r="H134">
        <f>Table1[[#This Row],[Quantity Sold]]*Table1[[#This Row],[Unit Price]]</f>
        <v>6205</v>
      </c>
    </row>
    <row r="135" spans="1:8" x14ac:dyDescent="0.35">
      <c r="A135" s="1">
        <v>45453</v>
      </c>
      <c r="B135" t="s">
        <v>8</v>
      </c>
      <c r="C135" t="s">
        <v>14</v>
      </c>
      <c r="D135" t="s">
        <v>28</v>
      </c>
      <c r="E135">
        <v>3</v>
      </c>
      <c r="F135">
        <v>2001</v>
      </c>
      <c r="G135" t="s">
        <v>34</v>
      </c>
      <c r="H135">
        <f>Table1[[#This Row],[Quantity Sold]]*Table1[[#This Row],[Unit Price]]</f>
        <v>6003</v>
      </c>
    </row>
    <row r="136" spans="1:8" x14ac:dyDescent="0.35">
      <c r="A136" s="1">
        <v>45346</v>
      </c>
      <c r="B136" t="s">
        <v>8</v>
      </c>
      <c r="C136" t="s">
        <v>11</v>
      </c>
      <c r="D136" t="s">
        <v>16</v>
      </c>
      <c r="E136">
        <v>3</v>
      </c>
      <c r="F136">
        <v>1999</v>
      </c>
      <c r="G136" t="s">
        <v>34</v>
      </c>
      <c r="H136">
        <f>Table1[[#This Row],[Quantity Sold]]*Table1[[#This Row],[Unit Price]]</f>
        <v>5997</v>
      </c>
    </row>
    <row r="137" spans="1:8" x14ac:dyDescent="0.35">
      <c r="A137" s="1">
        <v>45438</v>
      </c>
      <c r="B137" t="s">
        <v>8</v>
      </c>
      <c r="C137" t="s">
        <v>11</v>
      </c>
      <c r="D137" t="s">
        <v>15</v>
      </c>
      <c r="E137">
        <v>4</v>
      </c>
      <c r="F137">
        <v>1469</v>
      </c>
      <c r="G137" t="s">
        <v>33</v>
      </c>
      <c r="H137">
        <f>Table1[[#This Row],[Quantity Sold]]*Table1[[#This Row],[Unit Price]]</f>
        <v>5876</v>
      </c>
    </row>
    <row r="138" spans="1:8" x14ac:dyDescent="0.35">
      <c r="A138" s="1">
        <v>45304</v>
      </c>
      <c r="B138" t="s">
        <v>8</v>
      </c>
      <c r="C138" t="s">
        <v>12</v>
      </c>
      <c r="D138" t="s">
        <v>25</v>
      </c>
      <c r="E138">
        <v>3</v>
      </c>
      <c r="F138">
        <v>1941</v>
      </c>
      <c r="G138" t="s">
        <v>31</v>
      </c>
      <c r="H138">
        <f>Table1[[#This Row],[Quantity Sold]]*Table1[[#This Row],[Unit Price]]</f>
        <v>5823</v>
      </c>
    </row>
    <row r="139" spans="1:8" x14ac:dyDescent="0.35">
      <c r="A139" s="1">
        <v>45633</v>
      </c>
      <c r="B139" t="s">
        <v>7</v>
      </c>
      <c r="C139" t="s">
        <v>11</v>
      </c>
      <c r="D139" t="s">
        <v>16</v>
      </c>
      <c r="E139">
        <v>2</v>
      </c>
      <c r="F139">
        <v>2874</v>
      </c>
      <c r="G139" t="s">
        <v>34</v>
      </c>
      <c r="H139">
        <f>Table1[[#This Row],[Quantity Sold]]*Table1[[#This Row],[Unit Price]]</f>
        <v>5748</v>
      </c>
    </row>
    <row r="140" spans="1:8" x14ac:dyDescent="0.35">
      <c r="A140" s="1">
        <v>45580</v>
      </c>
      <c r="B140" t="s">
        <v>9</v>
      </c>
      <c r="C140" t="s">
        <v>11</v>
      </c>
      <c r="D140" t="s">
        <v>19</v>
      </c>
      <c r="E140">
        <v>5</v>
      </c>
      <c r="F140">
        <v>1115</v>
      </c>
      <c r="G140" t="s">
        <v>34</v>
      </c>
      <c r="H140">
        <f>Table1[[#This Row],[Quantity Sold]]*Table1[[#This Row],[Unit Price]]</f>
        <v>5575</v>
      </c>
    </row>
    <row r="141" spans="1:8" x14ac:dyDescent="0.35">
      <c r="A141" s="1">
        <v>45533</v>
      </c>
      <c r="B141" t="s">
        <v>7</v>
      </c>
      <c r="C141" t="s">
        <v>13</v>
      </c>
      <c r="D141" t="s">
        <v>24</v>
      </c>
      <c r="E141">
        <v>2</v>
      </c>
      <c r="F141">
        <v>2646</v>
      </c>
      <c r="G141" t="s">
        <v>34</v>
      </c>
      <c r="H141">
        <f>Table1[[#This Row],[Quantity Sold]]*Table1[[#This Row],[Unit Price]]</f>
        <v>5292</v>
      </c>
    </row>
    <row r="142" spans="1:8" x14ac:dyDescent="0.35">
      <c r="A142" s="1">
        <v>45604</v>
      </c>
      <c r="B142" t="s">
        <v>10</v>
      </c>
      <c r="C142" t="s">
        <v>12</v>
      </c>
      <c r="D142" t="s">
        <v>22</v>
      </c>
      <c r="E142">
        <v>4</v>
      </c>
      <c r="F142">
        <v>1305</v>
      </c>
      <c r="G142" t="s">
        <v>32</v>
      </c>
      <c r="H142">
        <f>Table1[[#This Row],[Quantity Sold]]*Table1[[#This Row],[Unit Price]]</f>
        <v>5220</v>
      </c>
    </row>
    <row r="143" spans="1:8" x14ac:dyDescent="0.35">
      <c r="A143" s="1">
        <v>45464</v>
      </c>
      <c r="B143" t="s">
        <v>10</v>
      </c>
      <c r="C143" t="s">
        <v>14</v>
      </c>
      <c r="D143" t="s">
        <v>28</v>
      </c>
      <c r="E143">
        <v>9</v>
      </c>
      <c r="F143">
        <v>554</v>
      </c>
      <c r="G143" t="s">
        <v>31</v>
      </c>
      <c r="H143">
        <f>Table1[[#This Row],[Quantity Sold]]*Table1[[#This Row],[Unit Price]]</f>
        <v>4986</v>
      </c>
    </row>
    <row r="144" spans="1:8" x14ac:dyDescent="0.35">
      <c r="A144" s="1">
        <v>45585</v>
      </c>
      <c r="B144" t="s">
        <v>9</v>
      </c>
      <c r="C144" t="s">
        <v>12</v>
      </c>
      <c r="D144" t="s">
        <v>17</v>
      </c>
      <c r="E144">
        <v>2</v>
      </c>
      <c r="F144">
        <v>2491</v>
      </c>
      <c r="G144" t="s">
        <v>33</v>
      </c>
      <c r="H144">
        <f>Table1[[#This Row],[Quantity Sold]]*Table1[[#This Row],[Unit Price]]</f>
        <v>4982</v>
      </c>
    </row>
    <row r="145" spans="1:8" x14ac:dyDescent="0.35">
      <c r="A145" s="1">
        <v>45478</v>
      </c>
      <c r="B145" t="s">
        <v>7</v>
      </c>
      <c r="C145" t="s">
        <v>14</v>
      </c>
      <c r="D145" t="s">
        <v>30</v>
      </c>
      <c r="E145">
        <v>4</v>
      </c>
      <c r="F145">
        <v>1236</v>
      </c>
      <c r="G145" t="s">
        <v>32</v>
      </c>
      <c r="H145">
        <f>Table1[[#This Row],[Quantity Sold]]*Table1[[#This Row],[Unit Price]]</f>
        <v>4944</v>
      </c>
    </row>
    <row r="146" spans="1:8" x14ac:dyDescent="0.35">
      <c r="A146" s="1">
        <v>45434</v>
      </c>
      <c r="B146" t="s">
        <v>10</v>
      </c>
      <c r="C146" t="s">
        <v>13</v>
      </c>
      <c r="D146" t="s">
        <v>23</v>
      </c>
      <c r="E146">
        <v>1</v>
      </c>
      <c r="F146">
        <v>4770</v>
      </c>
      <c r="G146" t="s">
        <v>34</v>
      </c>
      <c r="H146">
        <f>Table1[[#This Row],[Quantity Sold]]*Table1[[#This Row],[Unit Price]]</f>
        <v>4770</v>
      </c>
    </row>
    <row r="147" spans="1:8" x14ac:dyDescent="0.35">
      <c r="A147" s="1">
        <v>45292</v>
      </c>
      <c r="B147" t="s">
        <v>9</v>
      </c>
      <c r="C147" t="s">
        <v>13</v>
      </c>
      <c r="D147" t="s">
        <v>24</v>
      </c>
      <c r="E147">
        <v>1</v>
      </c>
      <c r="F147">
        <v>4754</v>
      </c>
      <c r="G147" t="s">
        <v>35</v>
      </c>
      <c r="H147">
        <f>Table1[[#This Row],[Quantity Sold]]*Table1[[#This Row],[Unit Price]]</f>
        <v>4754</v>
      </c>
    </row>
    <row r="148" spans="1:8" x14ac:dyDescent="0.35">
      <c r="A148" s="1">
        <v>45579</v>
      </c>
      <c r="B148" t="s">
        <v>9</v>
      </c>
      <c r="C148" t="s">
        <v>14</v>
      </c>
      <c r="D148" t="s">
        <v>28</v>
      </c>
      <c r="E148">
        <v>1</v>
      </c>
      <c r="F148">
        <v>4683</v>
      </c>
      <c r="G148" t="s">
        <v>33</v>
      </c>
      <c r="H148">
        <f>Table1[[#This Row],[Quantity Sold]]*Table1[[#This Row],[Unit Price]]</f>
        <v>4683</v>
      </c>
    </row>
    <row r="149" spans="1:8" x14ac:dyDescent="0.35">
      <c r="A149" s="1">
        <v>45608</v>
      </c>
      <c r="B149" t="s">
        <v>8</v>
      </c>
      <c r="C149" t="s">
        <v>12</v>
      </c>
      <c r="D149" t="s">
        <v>17</v>
      </c>
      <c r="E149">
        <v>1</v>
      </c>
      <c r="F149">
        <v>4648</v>
      </c>
      <c r="G149" t="s">
        <v>32</v>
      </c>
      <c r="H149">
        <f>Table1[[#This Row],[Quantity Sold]]*Table1[[#This Row],[Unit Price]]</f>
        <v>4648</v>
      </c>
    </row>
    <row r="150" spans="1:8" x14ac:dyDescent="0.35">
      <c r="A150" s="1">
        <v>45568</v>
      </c>
      <c r="B150" t="s">
        <v>8</v>
      </c>
      <c r="C150" t="s">
        <v>13</v>
      </c>
      <c r="D150" t="s">
        <v>24</v>
      </c>
      <c r="E150">
        <v>1</v>
      </c>
      <c r="F150">
        <v>4593</v>
      </c>
      <c r="G150" t="s">
        <v>33</v>
      </c>
      <c r="H150">
        <f>Table1[[#This Row],[Quantity Sold]]*Table1[[#This Row],[Unit Price]]</f>
        <v>4593</v>
      </c>
    </row>
    <row r="151" spans="1:8" x14ac:dyDescent="0.35">
      <c r="A151" s="1">
        <v>45513</v>
      </c>
      <c r="B151" t="s">
        <v>9</v>
      </c>
      <c r="C151" t="s">
        <v>11</v>
      </c>
      <c r="D151" t="s">
        <v>29</v>
      </c>
      <c r="E151">
        <v>2</v>
      </c>
      <c r="F151">
        <v>2261</v>
      </c>
      <c r="G151" t="s">
        <v>32</v>
      </c>
      <c r="H151">
        <f>Table1[[#This Row],[Quantity Sold]]*Table1[[#This Row],[Unit Price]]</f>
        <v>4522</v>
      </c>
    </row>
    <row r="152" spans="1:8" x14ac:dyDescent="0.35">
      <c r="A152" s="1">
        <v>45556</v>
      </c>
      <c r="B152" t="s">
        <v>9</v>
      </c>
      <c r="C152" t="s">
        <v>14</v>
      </c>
      <c r="D152" t="s">
        <v>20</v>
      </c>
      <c r="E152">
        <v>2</v>
      </c>
      <c r="F152">
        <v>2141</v>
      </c>
      <c r="G152" t="s">
        <v>35</v>
      </c>
      <c r="H152">
        <f>Table1[[#This Row],[Quantity Sold]]*Table1[[#This Row],[Unit Price]]</f>
        <v>4282</v>
      </c>
    </row>
    <row r="153" spans="1:8" x14ac:dyDescent="0.35">
      <c r="A153" s="1">
        <v>45508</v>
      </c>
      <c r="B153" t="s">
        <v>9</v>
      </c>
      <c r="C153" t="s">
        <v>12</v>
      </c>
      <c r="D153" t="s">
        <v>21</v>
      </c>
      <c r="E153">
        <v>1</v>
      </c>
      <c r="F153">
        <v>4258</v>
      </c>
      <c r="G153" t="s">
        <v>32</v>
      </c>
      <c r="H153">
        <f>Table1[[#This Row],[Quantity Sold]]*Table1[[#This Row],[Unit Price]]</f>
        <v>4258</v>
      </c>
    </row>
    <row r="154" spans="1:8" x14ac:dyDescent="0.35">
      <c r="A154" s="1">
        <v>45421</v>
      </c>
      <c r="B154" t="s">
        <v>8</v>
      </c>
      <c r="C154" t="s">
        <v>14</v>
      </c>
      <c r="D154" t="s">
        <v>20</v>
      </c>
      <c r="E154">
        <v>1</v>
      </c>
      <c r="F154">
        <v>4197</v>
      </c>
      <c r="G154" t="s">
        <v>35</v>
      </c>
      <c r="H154">
        <f>Table1[[#This Row],[Quantity Sold]]*Table1[[#This Row],[Unit Price]]</f>
        <v>4197</v>
      </c>
    </row>
    <row r="155" spans="1:8" x14ac:dyDescent="0.35">
      <c r="A155" s="1">
        <v>45614</v>
      </c>
      <c r="B155" t="s">
        <v>8</v>
      </c>
      <c r="C155" t="s">
        <v>13</v>
      </c>
      <c r="D155" t="s">
        <v>23</v>
      </c>
      <c r="E155">
        <v>6</v>
      </c>
      <c r="F155">
        <v>669</v>
      </c>
      <c r="G155" t="s">
        <v>31</v>
      </c>
      <c r="H155">
        <f>Table1[[#This Row],[Quantity Sold]]*Table1[[#This Row],[Unit Price]]</f>
        <v>4014</v>
      </c>
    </row>
    <row r="156" spans="1:8" x14ac:dyDescent="0.35">
      <c r="A156" s="1">
        <v>45443</v>
      </c>
      <c r="B156" t="s">
        <v>10</v>
      </c>
      <c r="C156" t="s">
        <v>11</v>
      </c>
      <c r="D156" t="s">
        <v>15</v>
      </c>
      <c r="E156">
        <v>3</v>
      </c>
      <c r="F156">
        <v>1305</v>
      </c>
      <c r="G156" t="s">
        <v>33</v>
      </c>
      <c r="H156">
        <f>Table1[[#This Row],[Quantity Sold]]*Table1[[#This Row],[Unit Price]]</f>
        <v>3915</v>
      </c>
    </row>
    <row r="157" spans="1:8" x14ac:dyDescent="0.35">
      <c r="A157" s="1">
        <v>45445</v>
      </c>
      <c r="B157" t="s">
        <v>9</v>
      </c>
      <c r="C157" t="s">
        <v>11</v>
      </c>
      <c r="D157" t="s">
        <v>29</v>
      </c>
      <c r="E157">
        <v>8</v>
      </c>
      <c r="F157">
        <v>464</v>
      </c>
      <c r="G157" t="s">
        <v>32</v>
      </c>
      <c r="H157">
        <f>Table1[[#This Row],[Quantity Sold]]*Table1[[#This Row],[Unit Price]]</f>
        <v>3712</v>
      </c>
    </row>
    <row r="158" spans="1:8" x14ac:dyDescent="0.35">
      <c r="A158" s="1">
        <v>45525</v>
      </c>
      <c r="B158" t="s">
        <v>7</v>
      </c>
      <c r="C158" t="s">
        <v>12</v>
      </c>
      <c r="D158" t="s">
        <v>22</v>
      </c>
      <c r="E158">
        <v>1</v>
      </c>
      <c r="F158">
        <v>3694</v>
      </c>
      <c r="G158" t="s">
        <v>31</v>
      </c>
      <c r="H158">
        <f>Table1[[#This Row],[Quantity Sold]]*Table1[[#This Row],[Unit Price]]</f>
        <v>3694</v>
      </c>
    </row>
    <row r="159" spans="1:8" x14ac:dyDescent="0.35">
      <c r="A159" s="1">
        <v>45417</v>
      </c>
      <c r="B159" t="s">
        <v>9</v>
      </c>
      <c r="C159" t="s">
        <v>14</v>
      </c>
      <c r="D159" t="s">
        <v>20</v>
      </c>
      <c r="E159">
        <v>1</v>
      </c>
      <c r="F159">
        <v>3574</v>
      </c>
      <c r="G159" t="s">
        <v>35</v>
      </c>
      <c r="H159">
        <f>Table1[[#This Row],[Quantity Sold]]*Table1[[#This Row],[Unit Price]]</f>
        <v>3574</v>
      </c>
    </row>
    <row r="160" spans="1:8" x14ac:dyDescent="0.35">
      <c r="A160" s="1">
        <v>45344</v>
      </c>
      <c r="B160" t="s">
        <v>8</v>
      </c>
      <c r="C160" t="s">
        <v>13</v>
      </c>
      <c r="D160" t="s">
        <v>23</v>
      </c>
      <c r="E160">
        <v>8</v>
      </c>
      <c r="F160">
        <v>437</v>
      </c>
      <c r="G160" t="s">
        <v>31</v>
      </c>
      <c r="H160">
        <f>Table1[[#This Row],[Quantity Sold]]*Table1[[#This Row],[Unit Price]]</f>
        <v>3496</v>
      </c>
    </row>
    <row r="161" spans="1:8" x14ac:dyDescent="0.35">
      <c r="A161" s="1">
        <v>45351</v>
      </c>
      <c r="B161" t="s">
        <v>8</v>
      </c>
      <c r="C161" t="s">
        <v>11</v>
      </c>
      <c r="D161" t="s">
        <v>16</v>
      </c>
      <c r="E161">
        <v>1</v>
      </c>
      <c r="F161">
        <v>3491</v>
      </c>
      <c r="G161" t="s">
        <v>35</v>
      </c>
      <c r="H161">
        <f>Table1[[#This Row],[Quantity Sold]]*Table1[[#This Row],[Unit Price]]</f>
        <v>3491</v>
      </c>
    </row>
    <row r="162" spans="1:8" x14ac:dyDescent="0.35">
      <c r="A162" s="1">
        <v>45346</v>
      </c>
      <c r="B162" t="s">
        <v>7</v>
      </c>
      <c r="C162" t="s">
        <v>11</v>
      </c>
      <c r="D162" t="s">
        <v>15</v>
      </c>
      <c r="E162">
        <v>1</v>
      </c>
      <c r="F162">
        <v>3435</v>
      </c>
      <c r="G162" t="s">
        <v>32</v>
      </c>
      <c r="H162">
        <f>Table1[[#This Row],[Quantity Sold]]*Table1[[#This Row],[Unit Price]]</f>
        <v>3435</v>
      </c>
    </row>
    <row r="163" spans="1:8" x14ac:dyDescent="0.35">
      <c r="A163" s="1">
        <v>45521</v>
      </c>
      <c r="B163" t="s">
        <v>7</v>
      </c>
      <c r="C163" t="s">
        <v>12</v>
      </c>
      <c r="D163" t="s">
        <v>21</v>
      </c>
      <c r="E163">
        <v>1</v>
      </c>
      <c r="F163">
        <v>3424</v>
      </c>
      <c r="G163" t="s">
        <v>35</v>
      </c>
      <c r="H163">
        <f>Table1[[#This Row],[Quantity Sold]]*Table1[[#This Row],[Unit Price]]</f>
        <v>3424</v>
      </c>
    </row>
    <row r="164" spans="1:8" x14ac:dyDescent="0.35">
      <c r="A164" s="1">
        <v>45439</v>
      </c>
      <c r="B164" t="s">
        <v>7</v>
      </c>
      <c r="C164" t="s">
        <v>14</v>
      </c>
      <c r="D164" t="s">
        <v>20</v>
      </c>
      <c r="E164">
        <v>4</v>
      </c>
      <c r="F164">
        <v>850</v>
      </c>
      <c r="G164" t="s">
        <v>32</v>
      </c>
      <c r="H164">
        <f>Table1[[#This Row],[Quantity Sold]]*Table1[[#This Row],[Unit Price]]</f>
        <v>3400</v>
      </c>
    </row>
    <row r="165" spans="1:8" x14ac:dyDescent="0.35">
      <c r="A165" s="1">
        <v>45415</v>
      </c>
      <c r="B165" t="s">
        <v>7</v>
      </c>
      <c r="C165" t="s">
        <v>12</v>
      </c>
      <c r="D165" t="s">
        <v>22</v>
      </c>
      <c r="E165">
        <v>1</v>
      </c>
      <c r="F165">
        <v>3372</v>
      </c>
      <c r="G165" t="s">
        <v>35</v>
      </c>
      <c r="H165">
        <f>Table1[[#This Row],[Quantity Sold]]*Table1[[#This Row],[Unit Price]]</f>
        <v>3372</v>
      </c>
    </row>
    <row r="166" spans="1:8" x14ac:dyDescent="0.35">
      <c r="A166" s="1">
        <v>45535</v>
      </c>
      <c r="B166" t="s">
        <v>10</v>
      </c>
      <c r="C166" t="s">
        <v>14</v>
      </c>
      <c r="D166" t="s">
        <v>20</v>
      </c>
      <c r="E166">
        <v>5</v>
      </c>
      <c r="F166">
        <v>674</v>
      </c>
      <c r="G166" t="s">
        <v>31</v>
      </c>
      <c r="H166">
        <f>Table1[[#This Row],[Quantity Sold]]*Table1[[#This Row],[Unit Price]]</f>
        <v>3370</v>
      </c>
    </row>
    <row r="167" spans="1:8" x14ac:dyDescent="0.35">
      <c r="A167" s="1">
        <v>45590</v>
      </c>
      <c r="B167" t="s">
        <v>9</v>
      </c>
      <c r="C167" t="s">
        <v>12</v>
      </c>
      <c r="D167" t="s">
        <v>22</v>
      </c>
      <c r="E167">
        <v>1</v>
      </c>
      <c r="F167">
        <v>3275</v>
      </c>
      <c r="G167" t="s">
        <v>35</v>
      </c>
      <c r="H167">
        <f>Table1[[#This Row],[Quantity Sold]]*Table1[[#This Row],[Unit Price]]</f>
        <v>3275</v>
      </c>
    </row>
    <row r="168" spans="1:8" x14ac:dyDescent="0.35">
      <c r="A168" s="1">
        <v>45366</v>
      </c>
      <c r="B168" t="s">
        <v>10</v>
      </c>
      <c r="C168" t="s">
        <v>12</v>
      </c>
      <c r="D168" t="s">
        <v>17</v>
      </c>
      <c r="E168">
        <v>2</v>
      </c>
      <c r="F168">
        <v>1616</v>
      </c>
      <c r="G168" t="s">
        <v>33</v>
      </c>
      <c r="H168">
        <f>Table1[[#This Row],[Quantity Sold]]*Table1[[#This Row],[Unit Price]]</f>
        <v>3232</v>
      </c>
    </row>
    <row r="169" spans="1:8" x14ac:dyDescent="0.35">
      <c r="A169" s="1">
        <v>45351</v>
      </c>
      <c r="B169" t="s">
        <v>8</v>
      </c>
      <c r="C169" t="s">
        <v>14</v>
      </c>
      <c r="D169" t="s">
        <v>20</v>
      </c>
      <c r="E169">
        <v>1</v>
      </c>
      <c r="F169">
        <v>3224</v>
      </c>
      <c r="G169" t="s">
        <v>33</v>
      </c>
      <c r="H169">
        <f>Table1[[#This Row],[Quantity Sold]]*Table1[[#This Row],[Unit Price]]</f>
        <v>3224</v>
      </c>
    </row>
    <row r="170" spans="1:8" x14ac:dyDescent="0.35">
      <c r="A170" s="1">
        <v>45637</v>
      </c>
      <c r="B170" t="s">
        <v>9</v>
      </c>
      <c r="C170" t="s">
        <v>12</v>
      </c>
      <c r="D170" t="s">
        <v>17</v>
      </c>
      <c r="E170">
        <v>5</v>
      </c>
      <c r="F170">
        <v>623</v>
      </c>
      <c r="G170" t="s">
        <v>31</v>
      </c>
      <c r="H170">
        <f>Table1[[#This Row],[Quantity Sold]]*Table1[[#This Row],[Unit Price]]</f>
        <v>3115</v>
      </c>
    </row>
    <row r="171" spans="1:8" x14ac:dyDescent="0.35">
      <c r="A171" s="1">
        <v>45318</v>
      </c>
      <c r="B171" t="s">
        <v>10</v>
      </c>
      <c r="C171" t="s">
        <v>13</v>
      </c>
      <c r="D171" t="s">
        <v>23</v>
      </c>
      <c r="E171">
        <v>7</v>
      </c>
      <c r="F171">
        <v>441</v>
      </c>
      <c r="G171" t="s">
        <v>32</v>
      </c>
      <c r="H171">
        <f>Table1[[#This Row],[Quantity Sold]]*Table1[[#This Row],[Unit Price]]</f>
        <v>3087</v>
      </c>
    </row>
    <row r="172" spans="1:8" x14ac:dyDescent="0.35">
      <c r="A172" s="1">
        <v>45409</v>
      </c>
      <c r="B172" t="s">
        <v>10</v>
      </c>
      <c r="C172" t="s">
        <v>14</v>
      </c>
      <c r="D172" t="s">
        <v>27</v>
      </c>
      <c r="E172">
        <v>4</v>
      </c>
      <c r="F172">
        <v>745</v>
      </c>
      <c r="G172" t="s">
        <v>32</v>
      </c>
      <c r="H172">
        <f>Table1[[#This Row],[Quantity Sold]]*Table1[[#This Row],[Unit Price]]</f>
        <v>2980</v>
      </c>
    </row>
    <row r="173" spans="1:8" x14ac:dyDescent="0.35">
      <c r="A173" s="1">
        <v>45387</v>
      </c>
      <c r="B173" t="s">
        <v>9</v>
      </c>
      <c r="C173" t="s">
        <v>13</v>
      </c>
      <c r="D173" t="s">
        <v>18</v>
      </c>
      <c r="E173">
        <v>1</v>
      </c>
      <c r="F173">
        <v>2949</v>
      </c>
      <c r="G173" t="s">
        <v>34</v>
      </c>
      <c r="H173">
        <f>Table1[[#This Row],[Quantity Sold]]*Table1[[#This Row],[Unit Price]]</f>
        <v>2949</v>
      </c>
    </row>
    <row r="174" spans="1:8" x14ac:dyDescent="0.35">
      <c r="A174" s="1">
        <v>45522</v>
      </c>
      <c r="B174" t="s">
        <v>10</v>
      </c>
      <c r="C174" t="s">
        <v>13</v>
      </c>
      <c r="D174" t="s">
        <v>26</v>
      </c>
      <c r="E174">
        <v>3</v>
      </c>
      <c r="F174">
        <v>963</v>
      </c>
      <c r="G174" t="s">
        <v>33</v>
      </c>
      <c r="H174">
        <f>Table1[[#This Row],[Quantity Sold]]*Table1[[#This Row],[Unit Price]]</f>
        <v>2889</v>
      </c>
    </row>
    <row r="175" spans="1:8" x14ac:dyDescent="0.35">
      <c r="A175" s="1">
        <v>45300</v>
      </c>
      <c r="B175" t="s">
        <v>8</v>
      </c>
      <c r="C175" t="s">
        <v>12</v>
      </c>
      <c r="D175" t="s">
        <v>25</v>
      </c>
      <c r="E175">
        <v>1</v>
      </c>
      <c r="F175">
        <v>2673</v>
      </c>
      <c r="G175" t="s">
        <v>31</v>
      </c>
      <c r="H175">
        <f>Table1[[#This Row],[Quantity Sold]]*Table1[[#This Row],[Unit Price]]</f>
        <v>2673</v>
      </c>
    </row>
    <row r="176" spans="1:8" x14ac:dyDescent="0.35">
      <c r="A176" s="1">
        <v>45354</v>
      </c>
      <c r="B176" t="s">
        <v>10</v>
      </c>
      <c r="C176" t="s">
        <v>13</v>
      </c>
      <c r="D176" t="s">
        <v>24</v>
      </c>
      <c r="E176">
        <v>6</v>
      </c>
      <c r="F176">
        <v>441</v>
      </c>
      <c r="G176" t="s">
        <v>34</v>
      </c>
      <c r="H176">
        <f>Table1[[#This Row],[Quantity Sold]]*Table1[[#This Row],[Unit Price]]</f>
        <v>2646</v>
      </c>
    </row>
    <row r="177" spans="1:8" x14ac:dyDescent="0.35">
      <c r="A177" s="1">
        <v>45442</v>
      </c>
      <c r="B177" t="s">
        <v>7</v>
      </c>
      <c r="C177" t="s">
        <v>13</v>
      </c>
      <c r="D177" t="s">
        <v>23</v>
      </c>
      <c r="E177">
        <v>3</v>
      </c>
      <c r="F177">
        <v>860</v>
      </c>
      <c r="G177" t="s">
        <v>32</v>
      </c>
      <c r="H177">
        <f>Table1[[#This Row],[Quantity Sold]]*Table1[[#This Row],[Unit Price]]</f>
        <v>2580</v>
      </c>
    </row>
    <row r="178" spans="1:8" x14ac:dyDescent="0.35">
      <c r="A178" s="1">
        <v>45453</v>
      </c>
      <c r="B178" t="s">
        <v>9</v>
      </c>
      <c r="C178" t="s">
        <v>11</v>
      </c>
      <c r="D178" t="s">
        <v>15</v>
      </c>
      <c r="E178">
        <v>7</v>
      </c>
      <c r="F178">
        <v>349</v>
      </c>
      <c r="G178" t="s">
        <v>32</v>
      </c>
      <c r="H178">
        <f>Table1[[#This Row],[Quantity Sold]]*Table1[[#This Row],[Unit Price]]</f>
        <v>2443</v>
      </c>
    </row>
    <row r="179" spans="1:8" x14ac:dyDescent="0.35">
      <c r="A179" s="1">
        <v>45407</v>
      </c>
      <c r="B179" t="s">
        <v>7</v>
      </c>
      <c r="C179" t="s">
        <v>12</v>
      </c>
      <c r="D179" t="s">
        <v>17</v>
      </c>
      <c r="E179">
        <v>3</v>
      </c>
      <c r="F179">
        <v>799</v>
      </c>
      <c r="G179" t="s">
        <v>35</v>
      </c>
      <c r="H179">
        <f>Table1[[#This Row],[Quantity Sold]]*Table1[[#This Row],[Unit Price]]</f>
        <v>2397</v>
      </c>
    </row>
    <row r="180" spans="1:8" x14ac:dyDescent="0.35">
      <c r="A180" s="1">
        <v>45384</v>
      </c>
      <c r="B180" t="s">
        <v>8</v>
      </c>
      <c r="C180" t="s">
        <v>11</v>
      </c>
      <c r="D180" t="s">
        <v>15</v>
      </c>
      <c r="E180">
        <v>3</v>
      </c>
      <c r="F180">
        <v>766</v>
      </c>
      <c r="G180" t="s">
        <v>31</v>
      </c>
      <c r="H180">
        <f>Table1[[#This Row],[Quantity Sold]]*Table1[[#This Row],[Unit Price]]</f>
        <v>2298</v>
      </c>
    </row>
    <row r="181" spans="1:8" x14ac:dyDescent="0.35">
      <c r="A181" s="1">
        <v>45312</v>
      </c>
      <c r="B181" t="s">
        <v>10</v>
      </c>
      <c r="C181" t="s">
        <v>11</v>
      </c>
      <c r="D181" t="s">
        <v>19</v>
      </c>
      <c r="E181">
        <v>3</v>
      </c>
      <c r="F181">
        <v>746</v>
      </c>
      <c r="G181" t="s">
        <v>31</v>
      </c>
      <c r="H181">
        <f>Table1[[#This Row],[Quantity Sold]]*Table1[[#This Row],[Unit Price]]</f>
        <v>2238</v>
      </c>
    </row>
    <row r="182" spans="1:8" x14ac:dyDescent="0.35">
      <c r="A182" s="1">
        <v>45608</v>
      </c>
      <c r="B182" t="s">
        <v>7</v>
      </c>
      <c r="C182" t="s">
        <v>13</v>
      </c>
      <c r="D182" t="s">
        <v>23</v>
      </c>
      <c r="E182">
        <v>4</v>
      </c>
      <c r="F182">
        <v>555</v>
      </c>
      <c r="G182" t="s">
        <v>34</v>
      </c>
      <c r="H182">
        <f>Table1[[#This Row],[Quantity Sold]]*Table1[[#This Row],[Unit Price]]</f>
        <v>2220</v>
      </c>
    </row>
    <row r="183" spans="1:8" x14ac:dyDescent="0.35">
      <c r="A183" s="1">
        <v>45404</v>
      </c>
      <c r="B183" t="s">
        <v>7</v>
      </c>
      <c r="C183" t="s">
        <v>11</v>
      </c>
      <c r="D183" t="s">
        <v>15</v>
      </c>
      <c r="E183">
        <v>1</v>
      </c>
      <c r="F183">
        <v>2155</v>
      </c>
      <c r="G183" t="s">
        <v>35</v>
      </c>
      <c r="H183">
        <f>Table1[[#This Row],[Quantity Sold]]*Table1[[#This Row],[Unit Price]]</f>
        <v>2155</v>
      </c>
    </row>
    <row r="184" spans="1:8" x14ac:dyDescent="0.35">
      <c r="A184" s="1">
        <v>45522</v>
      </c>
      <c r="B184" t="s">
        <v>7</v>
      </c>
      <c r="C184" t="s">
        <v>14</v>
      </c>
      <c r="D184" t="s">
        <v>27</v>
      </c>
      <c r="E184">
        <v>1</v>
      </c>
      <c r="F184">
        <v>2135</v>
      </c>
      <c r="G184" t="s">
        <v>33</v>
      </c>
      <c r="H184">
        <f>Table1[[#This Row],[Quantity Sold]]*Table1[[#This Row],[Unit Price]]</f>
        <v>2135</v>
      </c>
    </row>
    <row r="185" spans="1:8" x14ac:dyDescent="0.35">
      <c r="A185" s="1">
        <v>45494</v>
      </c>
      <c r="B185" t="s">
        <v>8</v>
      </c>
      <c r="C185" t="s">
        <v>12</v>
      </c>
      <c r="D185" t="s">
        <v>17</v>
      </c>
      <c r="E185">
        <v>2</v>
      </c>
      <c r="F185">
        <v>946</v>
      </c>
      <c r="G185" t="s">
        <v>31</v>
      </c>
      <c r="H185">
        <f>Table1[[#This Row],[Quantity Sold]]*Table1[[#This Row],[Unit Price]]</f>
        <v>1892</v>
      </c>
    </row>
    <row r="186" spans="1:8" x14ac:dyDescent="0.35">
      <c r="A186" s="1">
        <v>45444</v>
      </c>
      <c r="B186" t="s">
        <v>10</v>
      </c>
      <c r="C186" t="s">
        <v>14</v>
      </c>
      <c r="D186" t="s">
        <v>28</v>
      </c>
      <c r="E186">
        <v>9</v>
      </c>
      <c r="F186">
        <v>198</v>
      </c>
      <c r="G186" t="s">
        <v>31</v>
      </c>
      <c r="H186">
        <f>Table1[[#This Row],[Quantity Sold]]*Table1[[#This Row],[Unit Price]]</f>
        <v>1782</v>
      </c>
    </row>
    <row r="187" spans="1:8" x14ac:dyDescent="0.35">
      <c r="A187" s="1">
        <v>45396</v>
      </c>
      <c r="B187" t="s">
        <v>7</v>
      </c>
      <c r="C187" t="s">
        <v>11</v>
      </c>
      <c r="D187" t="s">
        <v>19</v>
      </c>
      <c r="E187">
        <v>1</v>
      </c>
      <c r="F187">
        <v>1733</v>
      </c>
      <c r="G187" t="s">
        <v>34</v>
      </c>
      <c r="H187">
        <f>Table1[[#This Row],[Quantity Sold]]*Table1[[#This Row],[Unit Price]]</f>
        <v>1733</v>
      </c>
    </row>
    <row r="188" spans="1:8" x14ac:dyDescent="0.35">
      <c r="A188" s="1">
        <v>45610</v>
      </c>
      <c r="B188" t="s">
        <v>10</v>
      </c>
      <c r="C188" t="s">
        <v>14</v>
      </c>
      <c r="D188" t="s">
        <v>28</v>
      </c>
      <c r="E188">
        <v>4</v>
      </c>
      <c r="F188">
        <v>420</v>
      </c>
      <c r="G188" t="s">
        <v>34</v>
      </c>
      <c r="H188">
        <f>Table1[[#This Row],[Quantity Sold]]*Table1[[#This Row],[Unit Price]]</f>
        <v>1680</v>
      </c>
    </row>
    <row r="189" spans="1:8" x14ac:dyDescent="0.35">
      <c r="A189" s="1">
        <v>45395</v>
      </c>
      <c r="B189" t="s">
        <v>8</v>
      </c>
      <c r="C189" t="s">
        <v>14</v>
      </c>
      <c r="D189" t="s">
        <v>27</v>
      </c>
      <c r="E189">
        <v>1</v>
      </c>
      <c r="F189">
        <v>1545</v>
      </c>
      <c r="G189" t="s">
        <v>32</v>
      </c>
      <c r="H189">
        <f>Table1[[#This Row],[Quantity Sold]]*Table1[[#This Row],[Unit Price]]</f>
        <v>1545</v>
      </c>
    </row>
    <row r="190" spans="1:8" x14ac:dyDescent="0.35">
      <c r="A190" s="1">
        <v>45345</v>
      </c>
      <c r="B190" t="s">
        <v>9</v>
      </c>
      <c r="C190" t="s">
        <v>12</v>
      </c>
      <c r="D190" t="s">
        <v>25</v>
      </c>
      <c r="E190">
        <v>1</v>
      </c>
      <c r="F190">
        <v>1496</v>
      </c>
      <c r="G190" t="s">
        <v>32</v>
      </c>
      <c r="H190">
        <f>Table1[[#This Row],[Quantity Sold]]*Table1[[#This Row],[Unit Price]]</f>
        <v>1496</v>
      </c>
    </row>
    <row r="191" spans="1:8" x14ac:dyDescent="0.35">
      <c r="A191" s="1">
        <v>45511</v>
      </c>
      <c r="B191" t="s">
        <v>10</v>
      </c>
      <c r="C191" t="s">
        <v>14</v>
      </c>
      <c r="D191" t="s">
        <v>28</v>
      </c>
      <c r="E191">
        <v>2</v>
      </c>
      <c r="F191">
        <v>639</v>
      </c>
      <c r="G191" t="s">
        <v>34</v>
      </c>
      <c r="H191">
        <f>Table1[[#This Row],[Quantity Sold]]*Table1[[#This Row],[Unit Price]]</f>
        <v>1278</v>
      </c>
    </row>
    <row r="192" spans="1:8" x14ac:dyDescent="0.35">
      <c r="A192" s="1">
        <v>45527</v>
      </c>
      <c r="B192" t="s">
        <v>10</v>
      </c>
      <c r="C192" t="s">
        <v>11</v>
      </c>
      <c r="D192" t="s">
        <v>29</v>
      </c>
      <c r="E192">
        <v>1</v>
      </c>
      <c r="F192">
        <v>1177</v>
      </c>
      <c r="G192" t="s">
        <v>32</v>
      </c>
      <c r="H192">
        <f>Table1[[#This Row],[Quantity Sold]]*Table1[[#This Row],[Unit Price]]</f>
        <v>1177</v>
      </c>
    </row>
    <row r="193" spans="1:8" x14ac:dyDescent="0.35">
      <c r="A193" s="1">
        <v>45616</v>
      </c>
      <c r="B193" t="s">
        <v>10</v>
      </c>
      <c r="C193" t="s">
        <v>12</v>
      </c>
      <c r="D193" t="s">
        <v>25</v>
      </c>
      <c r="E193">
        <v>1</v>
      </c>
      <c r="F193">
        <v>1115</v>
      </c>
      <c r="G193" t="s">
        <v>33</v>
      </c>
      <c r="H193">
        <f>Table1[[#This Row],[Quantity Sold]]*Table1[[#This Row],[Unit Price]]</f>
        <v>1115</v>
      </c>
    </row>
    <row r="194" spans="1:8" x14ac:dyDescent="0.35">
      <c r="A194" s="1">
        <v>45408</v>
      </c>
      <c r="B194" t="s">
        <v>9</v>
      </c>
      <c r="C194" t="s">
        <v>11</v>
      </c>
      <c r="D194" t="s">
        <v>15</v>
      </c>
      <c r="E194">
        <v>1</v>
      </c>
      <c r="F194">
        <v>923</v>
      </c>
      <c r="G194" t="s">
        <v>31</v>
      </c>
      <c r="H194">
        <f>Table1[[#This Row],[Quantity Sold]]*Table1[[#This Row],[Unit Price]]</f>
        <v>923</v>
      </c>
    </row>
    <row r="195" spans="1:8" x14ac:dyDescent="0.35">
      <c r="A195" s="1">
        <v>45508</v>
      </c>
      <c r="B195" t="s">
        <v>9</v>
      </c>
      <c r="C195" t="s">
        <v>12</v>
      </c>
      <c r="D195" t="s">
        <v>17</v>
      </c>
      <c r="E195">
        <v>1</v>
      </c>
      <c r="F195">
        <v>695</v>
      </c>
      <c r="G195" t="s">
        <v>35</v>
      </c>
      <c r="H195">
        <f>Table1[[#This Row],[Quantity Sold]]*Table1[[#This Row],[Unit Price]]</f>
        <v>695</v>
      </c>
    </row>
    <row r="196" spans="1:8" x14ac:dyDescent="0.35">
      <c r="A196" s="1">
        <v>45325</v>
      </c>
      <c r="B196" t="s">
        <v>10</v>
      </c>
      <c r="C196" t="s">
        <v>14</v>
      </c>
      <c r="D196" t="s">
        <v>20</v>
      </c>
      <c r="E196">
        <v>4</v>
      </c>
      <c r="F196">
        <v>140</v>
      </c>
      <c r="G196" t="s">
        <v>35</v>
      </c>
      <c r="H196">
        <f>Table1[[#This Row],[Quantity Sold]]*Table1[[#This Row],[Unit Price]]</f>
        <v>560</v>
      </c>
    </row>
    <row r="197" spans="1:8" x14ac:dyDescent="0.35">
      <c r="A197" s="1">
        <v>45524</v>
      </c>
      <c r="B197" t="s">
        <v>7</v>
      </c>
      <c r="C197" t="s">
        <v>11</v>
      </c>
      <c r="D197" t="s">
        <v>16</v>
      </c>
      <c r="E197">
        <v>1</v>
      </c>
      <c r="F197">
        <v>495</v>
      </c>
      <c r="G197" t="s">
        <v>33</v>
      </c>
      <c r="H197">
        <f>Table1[[#This Row],[Quantity Sold]]*Table1[[#This Row],[Unit Price]]</f>
        <v>495</v>
      </c>
    </row>
    <row r="198" spans="1:8" x14ac:dyDescent="0.35">
      <c r="A198" s="1">
        <v>45396</v>
      </c>
      <c r="B198" t="s">
        <v>7</v>
      </c>
      <c r="C198" t="s">
        <v>12</v>
      </c>
      <c r="D198" t="s">
        <v>21</v>
      </c>
      <c r="E198">
        <v>2</v>
      </c>
      <c r="F198">
        <v>214</v>
      </c>
      <c r="G198" t="s">
        <v>33</v>
      </c>
      <c r="H198">
        <f>Table1[[#This Row],[Quantity Sold]]*Table1[[#This Row],[Unit Price]]</f>
        <v>428</v>
      </c>
    </row>
    <row r="199" spans="1:8" x14ac:dyDescent="0.35">
      <c r="A199" s="1">
        <v>45406</v>
      </c>
      <c r="B199" t="s">
        <v>7</v>
      </c>
      <c r="C199" t="s">
        <v>11</v>
      </c>
      <c r="D199" t="s">
        <v>15</v>
      </c>
      <c r="E199">
        <v>2</v>
      </c>
      <c r="F199">
        <v>194</v>
      </c>
      <c r="G199" t="s">
        <v>33</v>
      </c>
      <c r="H199">
        <f>Table1[[#This Row],[Quantity Sold]]*Table1[[#This Row],[Unit Price]]</f>
        <v>388</v>
      </c>
    </row>
    <row r="200" spans="1:8" x14ac:dyDescent="0.35">
      <c r="A200" s="1">
        <v>45603</v>
      </c>
      <c r="B200" t="s">
        <v>9</v>
      </c>
      <c r="C200" t="s">
        <v>11</v>
      </c>
      <c r="D200" t="s">
        <v>19</v>
      </c>
      <c r="E200">
        <v>2</v>
      </c>
      <c r="F200">
        <v>109</v>
      </c>
      <c r="G200" t="s">
        <v>31</v>
      </c>
      <c r="H200">
        <f>Table1[[#This Row],[Quantity Sold]]*Table1[[#This Row],[Unit Price]]</f>
        <v>218</v>
      </c>
    </row>
    <row r="201" spans="1:8" x14ac:dyDescent="0.35">
      <c r="A201" s="1">
        <v>45463</v>
      </c>
      <c r="B201" t="s">
        <v>8</v>
      </c>
      <c r="C201" t="s">
        <v>14</v>
      </c>
      <c r="D201" t="s">
        <v>30</v>
      </c>
      <c r="E201">
        <v>1</v>
      </c>
      <c r="F201">
        <v>116</v>
      </c>
      <c r="G201" t="s">
        <v>35</v>
      </c>
      <c r="H201">
        <f>Table1[[#This Row],[Quantity Sold]]*Table1[[#This Row],[Unit Price]]</f>
        <v>116</v>
      </c>
    </row>
  </sheetData>
  <pageMargins left="0.7" right="0.7" top="0.75" bottom="0.75" header="0.3" footer="0.3"/>
  <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Sheet2</vt:lpstr>
      <vt:lpstr>Sheet3</vt:lpstr>
      <vt:lpstr>Dataset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Varththini V</cp:lastModifiedBy>
  <dcterms:created xsi:type="dcterms:W3CDTF">2026-01-17T09:39:50Z</dcterms:created>
  <dcterms:modified xsi:type="dcterms:W3CDTF">2026-01-17T11:13:44Z</dcterms:modified>
</cp:coreProperties>
</file>